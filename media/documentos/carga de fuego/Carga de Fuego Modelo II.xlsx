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 Útiles\Carga de fuego\"/>
    </mc:Choice>
  </mc:AlternateContent>
  <bookViews>
    <workbookView xWindow="0" yWindow="0" windowWidth="20490" windowHeight="7050" activeTab="1"/>
  </bookViews>
  <sheets>
    <sheet name="Resumen" sheetId="4" r:id="rId1"/>
    <sheet name="calculos" sheetId="2" r:id="rId2"/>
  </sheets>
  <definedNames>
    <definedName name="_xlnm.Print_Area" localSheetId="1">calculos!$A$1:$Q$134</definedName>
  </definedNames>
  <calcPr calcId="162913"/>
</workbook>
</file>

<file path=xl/calcChain.xml><?xml version="1.0" encoding="utf-8"?>
<calcChain xmlns="http://schemas.openxmlformats.org/spreadsheetml/2006/main">
  <c r="B125" i="2" l="1"/>
  <c r="H115" i="2"/>
  <c r="H114" i="2"/>
  <c r="H113" i="2"/>
  <c r="H112" i="2"/>
  <c r="H111" i="2"/>
  <c r="H110" i="2"/>
  <c r="H109" i="2"/>
  <c r="H108" i="2"/>
  <c r="K98" i="2"/>
  <c r="Q88" i="2"/>
  <c r="Q87" i="2"/>
  <c r="Q86" i="2"/>
  <c r="Q85" i="2"/>
  <c r="Q84" i="2"/>
  <c r="Q83" i="2"/>
  <c r="Q82" i="2"/>
  <c r="Q81" i="2"/>
  <c r="K73" i="2"/>
  <c r="Q63" i="2"/>
  <c r="Q62" i="2"/>
  <c r="Q61" i="2"/>
  <c r="Q60" i="2"/>
  <c r="Q59" i="2"/>
  <c r="Q58" i="2"/>
  <c r="Q57" i="2"/>
  <c r="Q56" i="2"/>
  <c r="B98" i="2"/>
  <c r="H88" i="2"/>
  <c r="H87" i="2"/>
  <c r="H86" i="2"/>
  <c r="H85" i="2"/>
  <c r="H84" i="2"/>
  <c r="H83" i="2"/>
  <c r="H82" i="2"/>
  <c r="H81" i="2"/>
  <c r="K21" i="2"/>
  <c r="Q11" i="2"/>
  <c r="Q10" i="2"/>
  <c r="Q9" i="2"/>
  <c r="Q8" i="2"/>
  <c r="Q7" i="2"/>
  <c r="Q6" i="2"/>
  <c r="Q5" i="2"/>
  <c r="Q4" i="2"/>
  <c r="K47" i="2"/>
  <c r="Q37" i="2"/>
  <c r="Q36" i="2"/>
  <c r="Q35" i="2"/>
  <c r="Q34" i="2"/>
  <c r="Q33" i="2"/>
  <c r="Q32" i="2"/>
  <c r="Q31" i="2"/>
  <c r="Q30" i="2"/>
  <c r="B73" i="2"/>
  <c r="H63" i="2"/>
  <c r="H62" i="2"/>
  <c r="H61" i="2"/>
  <c r="H60" i="2"/>
  <c r="H59" i="2"/>
  <c r="H58" i="2"/>
  <c r="H57" i="2"/>
  <c r="H56" i="2"/>
  <c r="B47" i="2"/>
  <c r="H37" i="2"/>
  <c r="H36" i="2"/>
  <c r="H35" i="2"/>
  <c r="H34" i="2"/>
  <c r="H33" i="2"/>
  <c r="H32" i="2"/>
  <c r="H31" i="2"/>
  <c r="H30" i="2"/>
  <c r="Q64" i="2" l="1"/>
  <c r="K66" i="2" s="1"/>
  <c r="O66" i="2" s="1"/>
  <c r="H116" i="2"/>
  <c r="B118" i="2" s="1"/>
  <c r="F118" i="2" s="1"/>
  <c r="H121" i="2" s="1"/>
  <c r="Q89" i="2"/>
  <c r="K91" i="2" s="1"/>
  <c r="O91" i="2" s="1"/>
  <c r="K97" i="2" s="1"/>
  <c r="O97" i="2" s="1"/>
  <c r="H38" i="2"/>
  <c r="B40" i="2" s="1"/>
  <c r="F40" i="2" s="1"/>
  <c r="B46" i="2" s="1"/>
  <c r="F46" i="2" s="1"/>
  <c r="H49" i="2" s="1"/>
  <c r="Q12" i="2"/>
  <c r="K14" i="2" s="1"/>
  <c r="O14" i="2" s="1"/>
  <c r="K20" i="2" s="1"/>
  <c r="O20" i="2" s="1"/>
  <c r="Q23" i="2" s="1"/>
  <c r="H89" i="2"/>
  <c r="B91" i="2" s="1"/>
  <c r="F91" i="2" s="1"/>
  <c r="H94" i="2" s="1"/>
  <c r="Q69" i="2"/>
  <c r="K72" i="2"/>
  <c r="O72" i="2" s="1"/>
  <c r="Q75" i="2" s="1"/>
  <c r="H64" i="2"/>
  <c r="B66" i="2" s="1"/>
  <c r="F66" i="2" s="1"/>
  <c r="H69" i="2" s="1"/>
  <c r="Q38" i="2"/>
  <c r="K40" i="2" s="1"/>
  <c r="O40" i="2" s="1"/>
  <c r="Q43" i="2" s="1"/>
  <c r="H11" i="2"/>
  <c r="H10" i="2"/>
  <c r="H9" i="2"/>
  <c r="H6" i="2"/>
  <c r="H7" i="2"/>
  <c r="H8" i="2"/>
  <c r="Q17" i="2" l="1"/>
  <c r="B72" i="2"/>
  <c r="F72" i="2" s="1"/>
  <c r="H75" i="2" s="1"/>
  <c r="Q94" i="2"/>
  <c r="B124" i="2"/>
  <c r="F124" i="2" s="1"/>
  <c r="H127" i="2" s="1"/>
  <c r="K46" i="2"/>
  <c r="O46" i="2" s="1"/>
  <c r="Q49" i="2" s="1"/>
  <c r="B97" i="2"/>
  <c r="F97" i="2" s="1"/>
  <c r="H100" i="2" s="1"/>
  <c r="Q100" i="2"/>
  <c r="H43" i="2"/>
  <c r="B21" i="2" l="1"/>
  <c r="H5" i="2"/>
  <c r="H4" i="2"/>
  <c r="H12" i="2" l="1"/>
  <c r="B14" i="2" s="1"/>
  <c r="F14" i="2" s="1"/>
  <c r="H17" i="2" s="1"/>
  <c r="B20" i="2" l="1"/>
  <c r="F20" i="2" s="1"/>
  <c r="H23" i="2" s="1"/>
</calcChain>
</file>

<file path=xl/sharedStrings.xml><?xml version="1.0" encoding="utf-8"?>
<sst xmlns="http://schemas.openxmlformats.org/spreadsheetml/2006/main" count="280" uniqueCount="89">
  <si>
    <t>TOTAL</t>
  </si>
  <si>
    <t>Superfiecie =</t>
  </si>
  <si>
    <t>m2</t>
  </si>
  <si>
    <t>Carga de fuego:</t>
  </si>
  <si>
    <t>.=</t>
  </si>
  <si>
    <t>Poder Calorífico
(Kcal/kg)</t>
  </si>
  <si>
    <t>Carga Calor
(Kcal)</t>
  </si>
  <si>
    <t>Kcal</t>
  </si>
  <si>
    <t>Kg/m2</t>
  </si>
  <si>
    <t>algodón</t>
  </si>
  <si>
    <t>alcohol</t>
  </si>
  <si>
    <t xml:space="preserve">2 mesas de recepción de madera melamina </t>
  </si>
  <si>
    <t>2 bibliotecas de madera</t>
  </si>
  <si>
    <t>25 resmas de papel</t>
  </si>
  <si>
    <t>30 biblioratos de carton</t>
  </si>
  <si>
    <t>400 sobres para estudios en papel bond</t>
  </si>
  <si>
    <t>4 sillas de madera para escritorio</t>
  </si>
  <si>
    <t xml:space="preserve">5 sillas masera </t>
  </si>
  <si>
    <t>2 cestos de residuos( polipropileno)</t>
  </si>
  <si>
    <t>Kcal madera</t>
  </si>
  <si>
    <t>Kg madera</t>
  </si>
  <si>
    <t>Carga de Fuego  Kg/m2</t>
  </si>
  <si>
    <t>Combustible</t>
  </si>
  <si>
    <t xml:space="preserve"> SECTOR 1 - Recepción</t>
  </si>
  <si>
    <t>1 silla de madera</t>
  </si>
  <si>
    <t>alcohol etílico</t>
  </si>
  <si>
    <t>1 colchon de camilla - poliuretano</t>
  </si>
  <si>
    <t xml:space="preserve"> SECTOR 4 - Box de atención</t>
  </si>
  <si>
    <t>10 silla de madera</t>
  </si>
  <si>
    <t>10 mesa de madera</t>
  </si>
  <si>
    <t>10 colchon de camilla - poliuretano</t>
  </si>
  <si>
    <t>10 cubre colchon de fliserina- polipropileno</t>
  </si>
  <si>
    <t>20 envases para cortopunzantes- polipropileno</t>
  </si>
  <si>
    <t xml:space="preserve">Carga Calor Total (Kcal)    </t>
  </si>
  <si>
    <t>Carga Calor kg madera</t>
  </si>
  <si>
    <t>Estudio de Carga de Fuego para Combustibles del Tipo A</t>
  </si>
  <si>
    <r>
      <rPr>
        <b/>
        <sz val="10"/>
        <rFont val="Arial"/>
        <family val="2"/>
      </rPr>
      <t>Riesgo del
combustible</t>
    </r>
  </si>
  <si>
    <r>
      <rPr>
        <b/>
        <sz val="10"/>
        <rFont val="Arial"/>
        <family val="2"/>
      </rPr>
      <t>Cantidad
(kg)</t>
    </r>
  </si>
  <si>
    <t>vendas de algodón</t>
  </si>
  <si>
    <t xml:space="preserve"> SECTOR 2- Consultorio</t>
  </si>
  <si>
    <t>1 escritorio de madera</t>
  </si>
  <si>
    <t>1 cubre colchon de fliserina- polipropileno</t>
  </si>
  <si>
    <t>2 envases para cortopunzantes- polipropileno</t>
  </si>
  <si>
    <t xml:space="preserve"> SECTOR 3 - Radiología</t>
  </si>
  <si>
    <t>2 silla de madera</t>
  </si>
  <si>
    <t>Camisolas de friselina</t>
  </si>
  <si>
    <t xml:space="preserve"> SECTOR 5- Consultorio</t>
  </si>
  <si>
    <t xml:space="preserve"> SECTOR 6- Consultorio</t>
  </si>
  <si>
    <t>1 contenedor - polietileno de alta densidad</t>
  </si>
  <si>
    <t>guantes de PVC</t>
  </si>
  <si>
    <t xml:space="preserve"> SECTOR 8- deposito res. patogenicos</t>
  </si>
  <si>
    <t>muletas de madera</t>
  </si>
  <si>
    <t>resmas de papel</t>
  </si>
  <si>
    <t>Cubre colchon de fliserina- polipropileno</t>
  </si>
  <si>
    <t xml:space="preserve"> SECTOR 9- deposito insumos</t>
  </si>
  <si>
    <t>Domicilio:</t>
  </si>
  <si>
    <t>Datos de la Empresa:</t>
  </si>
  <si>
    <t>Razón Social:</t>
  </si>
  <si>
    <t xml:space="preserve">Actividad: </t>
  </si>
  <si>
    <t>Datos de los sectores de Incendio Considerado</t>
  </si>
  <si>
    <t>Sector 1</t>
  </si>
  <si>
    <t>Sector 2</t>
  </si>
  <si>
    <t>Sector 3</t>
  </si>
  <si>
    <t>Sector 4</t>
  </si>
  <si>
    <t>Sector 5</t>
  </si>
  <si>
    <t>Sector 6</t>
  </si>
  <si>
    <t>Sector 7</t>
  </si>
  <si>
    <t>Riesgo</t>
  </si>
  <si>
    <t>Superficie</t>
  </si>
  <si>
    <t>Sector 8</t>
  </si>
  <si>
    <t>Sector 9</t>
  </si>
  <si>
    <t>Carga de fuego kg/m2</t>
  </si>
  <si>
    <t xml:space="preserve"> SECTOR  -7 enfermería</t>
  </si>
  <si>
    <t>Resistencia al fuego hasta 15 kg/m2</t>
  </si>
  <si>
    <t>Potencial extintor</t>
  </si>
  <si>
    <t>Normativas aplicables</t>
  </si>
  <si>
    <t xml:space="preserve">Superficie de piso: </t>
  </si>
  <si>
    <t>Apellido y Nombres</t>
  </si>
  <si>
    <t>Estudio Realizado Por:</t>
  </si>
  <si>
    <t>Fecha del estudio:</t>
  </si>
  <si>
    <t>Recomendaciones:</t>
  </si>
  <si>
    <t>Ley 19587- Decreto 351/79 Aenxo 7 Capitulo 18- Art. 7.1.1</t>
  </si>
  <si>
    <t>Ley 19587 Capitulo 18- Art. 176</t>
  </si>
  <si>
    <t>Se requieren como Mínimo 3 (tres) extintores ABC con poder extintor 1A de 5 Kg.</t>
  </si>
  <si>
    <t>En vista de que en la actividad se utilizan varios equipos energizados se recomienda 1 (uno) extintor BC de 5 kg.</t>
  </si>
  <si>
    <t>Ley 19587- Decreto 351/79 Capitulo 18- cuadros 2.2.1 / tabla 1</t>
  </si>
  <si>
    <t>Responsable técnico</t>
  </si>
  <si>
    <t>Según normativa vigente corresponde 1 extintor cada 200 de piso, siendo la distancia máxima a recorrer 20 metros.</t>
  </si>
  <si>
    <t xml:space="preserve">                INFORME DE CÁLCULO DE EXTINTORES DE INCENDIO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</si>
</sst>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13" xfId="0" applyFont="1" applyFill="1" applyBorder="1" applyAlignment="1">
      <alignment wrapText="1"/>
    </xf>
    <xf numFmtId="0" fontId="3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15" xfId="0" applyFont="1" applyFill="1" applyBorder="1" applyAlignment="1">
      <alignment horizontal="left" vertical="top" wrapText="1"/>
    </xf>
    <xf numFmtId="0" fontId="6" fillId="0" borderId="0" xfId="0" applyFont="1"/>
    <xf numFmtId="0" fontId="6" fillId="0" borderId="4" xfId="0" applyFont="1" applyFill="1" applyBorder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6" fillId="0" borderId="2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right"/>
    </xf>
    <xf numFmtId="0" fontId="3" fillId="0" borderId="13" xfId="0" applyFont="1" applyFill="1" applyBorder="1" applyAlignment="1">
      <alignment horizontal="right" wrapText="1"/>
    </xf>
    <xf numFmtId="0" fontId="3" fillId="0" borderId="13" xfId="0" applyFont="1" applyFill="1" applyBorder="1" applyAlignment="1"/>
    <xf numFmtId="0" fontId="3" fillId="0" borderId="13" xfId="0" applyFont="1" applyFill="1" applyBorder="1" applyAlignment="1">
      <alignment horizontal="left" vertical="top"/>
    </xf>
    <xf numFmtId="0" fontId="6" fillId="0" borderId="14" xfId="0" applyFont="1" applyFill="1" applyBorder="1" applyAlignment="1"/>
    <xf numFmtId="0" fontId="3" fillId="0" borderId="15" xfId="0" applyFont="1" applyFill="1" applyBorder="1" applyAlignment="1">
      <alignment horizontal="center"/>
    </xf>
    <xf numFmtId="0" fontId="3" fillId="0" borderId="15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top"/>
    </xf>
    <xf numFmtId="2" fontId="3" fillId="0" borderId="0" xfId="0" applyNumberFormat="1" applyFont="1" applyFill="1" applyBorder="1" applyAlignment="1">
      <alignment horizontal="left" indent="2"/>
    </xf>
    <xf numFmtId="0" fontId="8" fillId="0" borderId="0" xfId="0" applyFont="1" applyFill="1" applyBorder="1" applyAlignment="1">
      <alignment wrapText="1"/>
    </xf>
    <xf numFmtId="0" fontId="6" fillId="0" borderId="16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16" xfId="0" applyFont="1" applyFill="1" applyBorder="1" applyAlignment="1"/>
    <xf numFmtId="0" fontId="6" fillId="0" borderId="18" xfId="0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right" vertical="top"/>
    </xf>
    <xf numFmtId="0" fontId="3" fillId="0" borderId="13" xfId="0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right" vertical="top"/>
    </xf>
    <xf numFmtId="2" fontId="3" fillId="0" borderId="15" xfId="0" applyNumberFormat="1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left" vertical="top"/>
    </xf>
    <xf numFmtId="2" fontId="3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3" fillId="0" borderId="17" xfId="0" applyFont="1" applyFill="1" applyBorder="1" applyAlignment="1">
      <alignment horizontal="left" vertical="top"/>
    </xf>
    <xf numFmtId="0" fontId="6" fillId="0" borderId="18" xfId="0" applyFont="1" applyFill="1" applyBorder="1" applyAlignment="1">
      <alignment horizontal="left" vertical="top"/>
    </xf>
    <xf numFmtId="2" fontId="6" fillId="0" borderId="19" xfId="0" applyNumberFormat="1" applyFont="1" applyFill="1" applyBorder="1" applyAlignment="1">
      <alignment horizontal="center" vertical="top"/>
    </xf>
    <xf numFmtId="0" fontId="6" fillId="0" borderId="21" xfId="0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25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0" fontId="6" fillId="0" borderId="29" xfId="0" applyFont="1" applyFill="1" applyBorder="1" applyAlignment="1">
      <alignment horizontal="left" wrapText="1"/>
    </xf>
    <xf numFmtId="0" fontId="6" fillId="0" borderId="35" xfId="0" applyFont="1" applyFill="1" applyBorder="1" applyAlignment="1">
      <alignment horizontal="left" wrapText="1"/>
    </xf>
    <xf numFmtId="0" fontId="6" fillId="0" borderId="23" xfId="0" applyFont="1" applyFill="1" applyBorder="1" applyAlignment="1">
      <alignment horizontal="left" wrapText="1"/>
    </xf>
    <xf numFmtId="0" fontId="6" fillId="0" borderId="24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22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0" fontId="6" fillId="0" borderId="19" xfId="0" applyFont="1" applyFill="1" applyBorder="1" applyAlignment="1">
      <alignment horizontal="center" vertical="top"/>
    </xf>
    <xf numFmtId="2" fontId="6" fillId="0" borderId="19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wrapText="1"/>
    </xf>
    <xf numFmtId="0" fontId="6" fillId="0" borderId="37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2" fontId="6" fillId="0" borderId="0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wrapText="1"/>
    </xf>
    <xf numFmtId="0" fontId="4" fillId="3" borderId="37" xfId="0" applyFont="1" applyFill="1" applyBorder="1" applyAlignment="1">
      <alignment vertical="top" wrapText="1"/>
    </xf>
    <xf numFmtId="0" fontId="4" fillId="3" borderId="38" xfId="0" applyFont="1" applyFill="1" applyBorder="1" applyAlignment="1">
      <alignment vertical="top" wrapText="1"/>
    </xf>
    <xf numFmtId="0" fontId="6" fillId="0" borderId="23" xfId="0" applyFont="1" applyBorder="1"/>
    <xf numFmtId="0" fontId="6" fillId="0" borderId="31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vertical="top" wrapText="1"/>
    </xf>
    <xf numFmtId="0" fontId="1" fillId="3" borderId="46" xfId="0" applyFont="1" applyFill="1" applyBorder="1" applyAlignment="1">
      <alignment vertical="top" wrapText="1"/>
    </xf>
    <xf numFmtId="0" fontId="8" fillId="3" borderId="30" xfId="0" applyFont="1" applyFill="1" applyBorder="1" applyAlignment="1">
      <alignment horizontal="center" vertical="top" wrapText="1"/>
    </xf>
    <xf numFmtId="0" fontId="8" fillId="3" borderId="24" xfId="0" applyFont="1" applyFill="1" applyBorder="1" applyAlignment="1">
      <alignment horizontal="center" vertical="top" wrapText="1"/>
    </xf>
    <xf numFmtId="0" fontId="8" fillId="3" borderId="45" xfId="0" applyFont="1" applyFill="1" applyBorder="1" applyAlignment="1">
      <alignment horizontal="center" vertical="top" wrapText="1"/>
    </xf>
    <xf numFmtId="0" fontId="8" fillId="3" borderId="39" xfId="0" applyFont="1" applyFill="1" applyBorder="1" applyAlignment="1">
      <alignment horizontal="center" vertical="top" wrapText="1"/>
    </xf>
    <xf numFmtId="0" fontId="8" fillId="3" borderId="39" xfId="0" applyFont="1" applyFill="1" applyBorder="1" applyAlignment="1">
      <alignment horizontal="center" wrapText="1"/>
    </xf>
    <xf numFmtId="0" fontId="8" fillId="3" borderId="46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27" xfId="0" applyFont="1" applyFill="1" applyBorder="1" applyAlignment="1">
      <alignment horizontal="center" wrapText="1"/>
    </xf>
    <xf numFmtId="0" fontId="8" fillId="3" borderId="42" xfId="0" applyFont="1" applyFill="1" applyBorder="1" applyAlignment="1">
      <alignment vertical="top" wrapText="1"/>
    </xf>
    <xf numFmtId="0" fontId="8" fillId="3" borderId="40" xfId="0" applyFont="1" applyFill="1" applyBorder="1" applyAlignment="1">
      <alignment vertical="top" wrapText="1"/>
    </xf>
    <xf numFmtId="0" fontId="8" fillId="3" borderId="43" xfId="0" applyFont="1" applyFill="1" applyBorder="1" applyAlignment="1">
      <alignment vertical="top" wrapText="1"/>
    </xf>
    <xf numFmtId="0" fontId="0" fillId="0" borderId="15" xfId="0" applyBorder="1"/>
    <xf numFmtId="0" fontId="8" fillId="3" borderId="15" xfId="0" applyFont="1" applyFill="1" applyBorder="1" applyAlignment="1">
      <alignment vertical="top" wrapText="1"/>
    </xf>
    <xf numFmtId="0" fontId="0" fillId="0" borderId="24" xfId="0" applyBorder="1"/>
    <xf numFmtId="0" fontId="8" fillId="3" borderId="17" xfId="0" applyFont="1" applyFill="1" applyBorder="1" applyAlignment="1">
      <alignment vertical="center" wrapText="1"/>
    </xf>
    <xf numFmtId="0" fontId="1" fillId="3" borderId="45" xfId="0" applyFont="1" applyFill="1" applyBorder="1" applyAlignment="1">
      <alignment vertical="top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0" xfId="0" applyFont="1" applyBorder="1"/>
    <xf numFmtId="0" fontId="6" fillId="0" borderId="16" xfId="0" applyFont="1" applyBorder="1"/>
    <xf numFmtId="0" fontId="4" fillId="3" borderId="0" xfId="0" applyFont="1" applyFill="1" applyBorder="1" applyAlignment="1">
      <alignment wrapText="1"/>
    </xf>
    <xf numFmtId="0" fontId="1" fillId="3" borderId="15" xfId="0" applyFont="1" applyFill="1" applyBorder="1" applyAlignment="1">
      <alignment vertical="top" wrapText="1"/>
    </xf>
    <xf numFmtId="0" fontId="1" fillId="3" borderId="37" xfId="0" applyFont="1" applyFill="1" applyBorder="1" applyAlignment="1">
      <alignment vertical="top" wrapText="1"/>
    </xf>
    <xf numFmtId="0" fontId="5" fillId="3" borderId="16" xfId="0" applyFont="1" applyFill="1" applyBorder="1" applyAlignment="1">
      <alignment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top" wrapText="1"/>
    </xf>
    <xf numFmtId="0" fontId="6" fillId="4" borderId="12" xfId="0" applyFont="1" applyFill="1" applyBorder="1"/>
    <xf numFmtId="0" fontId="6" fillId="4" borderId="13" xfId="0" applyFont="1" applyFill="1" applyBorder="1"/>
    <xf numFmtId="0" fontId="6" fillId="4" borderId="14" xfId="0" applyFont="1" applyFill="1" applyBorder="1"/>
    <xf numFmtId="0" fontId="1" fillId="4" borderId="37" xfId="0" applyFont="1" applyFill="1" applyBorder="1" applyAlignment="1">
      <alignment vertical="top" wrapText="1"/>
    </xf>
    <xf numFmtId="0" fontId="1" fillId="4" borderId="38" xfId="0" applyFont="1" applyFill="1" applyBorder="1" applyAlignment="1">
      <alignment vertical="top" wrapText="1"/>
    </xf>
    <xf numFmtId="0" fontId="7" fillId="4" borderId="28" xfId="0" applyFont="1" applyFill="1" applyBorder="1"/>
    <xf numFmtId="0" fontId="6" fillId="4" borderId="37" xfId="0" applyFont="1" applyFill="1" applyBorder="1"/>
    <xf numFmtId="0" fontId="6" fillId="4" borderId="38" xfId="0" applyFont="1" applyFill="1" applyBorder="1"/>
    <xf numFmtId="0" fontId="8" fillId="3" borderId="1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left" wrapText="1"/>
    </xf>
    <xf numFmtId="0" fontId="8" fillId="3" borderId="37" xfId="0" applyFont="1" applyFill="1" applyBorder="1" applyAlignment="1">
      <alignment vertical="top" wrapText="1"/>
    </xf>
    <xf numFmtId="0" fontId="4" fillId="3" borderId="37" xfId="0" applyFont="1" applyFill="1" applyBorder="1" applyAlignment="1">
      <alignment wrapText="1"/>
    </xf>
    <xf numFmtId="0" fontId="5" fillId="3" borderId="37" xfId="0" applyFont="1" applyFill="1" applyBorder="1" applyAlignment="1">
      <alignment wrapText="1"/>
    </xf>
    <xf numFmtId="0" fontId="5" fillId="3" borderId="38" xfId="0" applyFont="1" applyFill="1" applyBorder="1" applyAlignment="1">
      <alignment wrapText="1"/>
    </xf>
    <xf numFmtId="0" fontId="6" fillId="0" borderId="49" xfId="0" applyFont="1" applyBorder="1"/>
    <xf numFmtId="0" fontId="6" fillId="0" borderId="41" xfId="0" applyFont="1" applyBorder="1"/>
    <xf numFmtId="0" fontId="6" fillId="0" borderId="42" xfId="0" applyFont="1" applyBorder="1"/>
    <xf numFmtId="0" fontId="6" fillId="0" borderId="24" xfId="0" applyFont="1" applyBorder="1"/>
    <xf numFmtId="0" fontId="6" fillId="0" borderId="40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43" xfId="0" applyFont="1" applyBorder="1"/>
    <xf numFmtId="0" fontId="6" fillId="4" borderId="28" xfId="0" applyFont="1" applyFill="1" applyBorder="1"/>
    <xf numFmtId="0" fontId="8" fillId="4" borderId="3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left" wrapText="1"/>
    </xf>
    <xf numFmtId="0" fontId="4" fillId="3" borderId="37" xfId="0" applyFont="1" applyFill="1" applyBorder="1" applyAlignment="1">
      <alignment horizontal="left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wrapText="1"/>
    </xf>
    <xf numFmtId="0" fontId="8" fillId="3" borderId="43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8" fillId="3" borderId="36" xfId="0" applyFont="1" applyFill="1" applyBorder="1" applyAlignment="1">
      <alignment horizontal="center" wrapText="1"/>
    </xf>
    <xf numFmtId="0" fontId="8" fillId="3" borderId="48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27" xfId="0" applyFont="1" applyFill="1" applyBorder="1" applyAlignment="1">
      <alignment horizontal="center" wrapText="1"/>
    </xf>
    <xf numFmtId="0" fontId="8" fillId="3" borderId="49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horizontal="left" vertical="top" wrapText="1"/>
    </xf>
    <xf numFmtId="0" fontId="8" fillId="3" borderId="24" xfId="0" applyFont="1" applyFill="1" applyBorder="1" applyAlignment="1">
      <alignment horizontal="left" vertical="top" wrapText="1"/>
    </xf>
    <xf numFmtId="0" fontId="8" fillId="3" borderId="15" xfId="0" applyFont="1" applyFill="1" applyBorder="1" applyAlignment="1">
      <alignment horizontal="left" vertical="top" wrapText="1"/>
    </xf>
    <xf numFmtId="0" fontId="1" fillId="3" borderId="28" xfId="0" applyFont="1" applyFill="1" applyBorder="1" applyAlignment="1">
      <alignment horizontal="center" vertical="top" wrapText="1"/>
    </xf>
    <xf numFmtId="0" fontId="1" fillId="3" borderId="37" xfId="0" applyFont="1" applyFill="1" applyBorder="1" applyAlignment="1">
      <alignment horizontal="center" vertical="top" wrapText="1"/>
    </xf>
    <xf numFmtId="0" fontId="6" fillId="0" borderId="11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8" fillId="3" borderId="28" xfId="0" applyFont="1" applyFill="1" applyBorder="1" applyAlignment="1">
      <alignment horizontal="left" wrapText="1"/>
    </xf>
    <xf numFmtId="0" fontId="8" fillId="3" borderId="37" xfId="0" applyFont="1" applyFill="1" applyBorder="1" applyAlignment="1">
      <alignment horizontal="left" wrapText="1"/>
    </xf>
    <xf numFmtId="0" fontId="1" fillId="3" borderId="17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4" borderId="28" xfId="0" applyFont="1" applyFill="1" applyBorder="1" applyAlignment="1">
      <alignment horizontal="center" vertical="top" wrapText="1"/>
    </xf>
    <xf numFmtId="0" fontId="1" fillId="4" borderId="37" xfId="0" applyFon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8" fillId="3" borderId="49" xfId="0" applyFont="1" applyFill="1" applyBorder="1" applyAlignment="1">
      <alignment horizontal="center" wrapText="1"/>
    </xf>
    <xf numFmtId="0" fontId="8" fillId="3" borderId="41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 vertical="top" wrapText="1"/>
    </xf>
    <xf numFmtId="0" fontId="8" fillId="3" borderId="40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17"/>
    </xf>
    <xf numFmtId="0" fontId="1" fillId="2" borderId="4" xfId="0" applyFont="1" applyFill="1" applyBorder="1" applyAlignment="1">
      <alignment horizontal="left" vertical="top" wrapText="1" indent="17"/>
    </xf>
    <xf numFmtId="0" fontId="1" fillId="2" borderId="6" xfId="0" applyFont="1" applyFill="1" applyBorder="1" applyAlignment="1">
      <alignment horizontal="left" vertical="top" wrapText="1" indent="17"/>
    </xf>
    <xf numFmtId="0" fontId="3" fillId="0" borderId="23" xfId="0" applyFont="1" applyFill="1" applyBorder="1" applyAlignment="1">
      <alignment horizontal="left" wrapText="1"/>
    </xf>
    <xf numFmtId="0" fontId="3" fillId="0" borderId="24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left" wrapText="1"/>
    </xf>
    <xf numFmtId="0" fontId="6" fillId="0" borderId="23" xfId="0" applyFont="1" applyFill="1" applyBorder="1" applyAlignment="1">
      <alignment horizontal="left" wrapText="1"/>
    </xf>
    <xf numFmtId="0" fontId="6" fillId="0" borderId="24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7" xfId="0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6" fillId="0" borderId="17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wrapText="1"/>
    </xf>
    <xf numFmtId="0" fontId="1" fillId="2" borderId="17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4" xfId="0" applyFont="1" applyFill="1" applyBorder="1" applyAlignment="1">
      <alignment horizontal="left" wrapText="1"/>
    </xf>
    <xf numFmtId="0" fontId="6" fillId="0" borderId="31" xfId="0" applyFont="1" applyFill="1" applyBorder="1" applyAlignment="1">
      <alignment horizontal="left" wrapText="1"/>
    </xf>
    <xf numFmtId="0" fontId="6" fillId="0" borderId="32" xfId="0" applyFont="1" applyFill="1" applyBorder="1" applyAlignment="1">
      <alignment horizontal="left" wrapText="1"/>
    </xf>
    <xf numFmtId="0" fontId="6" fillId="0" borderId="33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6" fillId="0" borderId="7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horizontal="center" vertical="top" wrapText="1"/>
    </xf>
    <xf numFmtId="0" fontId="1" fillId="2" borderId="37" xfId="0" applyFont="1" applyFill="1" applyBorder="1" applyAlignment="1">
      <alignment horizontal="center" vertical="top" wrapText="1"/>
    </xf>
    <xf numFmtId="0" fontId="6" fillId="0" borderId="35" xfId="0" applyFont="1" applyFill="1" applyBorder="1" applyAlignment="1">
      <alignment horizontal="left" wrapText="1"/>
    </xf>
    <xf numFmtId="0" fontId="6" fillId="0" borderId="29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4" fillId="4" borderId="12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0" fillId="0" borderId="11" xfId="0" applyBorder="1" applyAlignment="1"/>
    <xf numFmtId="0" fontId="0" fillId="0" borderId="0" xfId="0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5" xfId="0" applyBorder="1" applyAlignment="1"/>
    <xf numFmtId="0" fontId="0" fillId="0" borderId="1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376041</xdr:colOff>
      <xdr:row>2</xdr:row>
      <xdr:rowOff>190500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033266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70"/>
  <sheetViews>
    <sheetView workbookViewId="0">
      <selection activeCell="N11" sqref="N11"/>
    </sheetView>
  </sheetViews>
  <sheetFormatPr baseColWidth="10" defaultRowHeight="15" x14ac:dyDescent="0.25"/>
  <cols>
    <col min="5" max="5" width="4" customWidth="1"/>
    <col min="7" max="7" width="7.85546875" customWidth="1"/>
    <col min="8" max="8" width="14.7109375" customWidth="1"/>
  </cols>
  <sheetData>
    <row r="1" spans="1:8" x14ac:dyDescent="0.25">
      <c r="A1" s="228" t="s">
        <v>88</v>
      </c>
      <c r="B1" s="229"/>
      <c r="C1" s="229"/>
      <c r="D1" s="229"/>
      <c r="E1" s="229"/>
      <c r="F1" s="229"/>
      <c r="G1" s="229"/>
      <c r="H1" s="230"/>
    </row>
    <row r="2" spans="1:8" ht="15.75" customHeight="1" x14ac:dyDescent="0.25">
      <c r="A2" s="231"/>
      <c r="B2" s="232"/>
      <c r="C2" s="232"/>
      <c r="D2" s="232"/>
      <c r="E2" s="232"/>
      <c r="F2" s="232"/>
      <c r="G2" s="232"/>
      <c r="H2" s="233"/>
    </row>
    <row r="3" spans="1:8" ht="15.75" thickBot="1" x14ac:dyDescent="0.3">
      <c r="A3" s="234"/>
      <c r="B3" s="235"/>
      <c r="C3" s="235"/>
      <c r="D3" s="235"/>
      <c r="E3" s="235"/>
      <c r="F3" s="235"/>
      <c r="G3" s="235"/>
      <c r="H3" s="236"/>
    </row>
    <row r="4" spans="1:8" ht="28.5" customHeight="1" thickBot="1" x14ac:dyDescent="0.3">
      <c r="A4" s="139"/>
      <c r="B4" s="140"/>
      <c r="C4" s="140"/>
      <c r="D4" s="140"/>
      <c r="E4" s="140"/>
      <c r="F4" s="140"/>
      <c r="G4" s="140"/>
      <c r="H4" s="141"/>
    </row>
    <row r="5" spans="1:8" ht="15.75" thickBot="1" x14ac:dyDescent="0.3">
      <c r="A5" s="142" t="s">
        <v>56</v>
      </c>
      <c r="B5" s="143"/>
      <c r="C5" s="71"/>
      <c r="D5" s="71"/>
      <c r="E5" s="71"/>
      <c r="F5" s="71"/>
      <c r="G5" s="71"/>
      <c r="H5" s="72"/>
    </row>
    <row r="6" spans="1:8" ht="15" customHeight="1" x14ac:dyDescent="0.25">
      <c r="A6" s="165" t="s">
        <v>57</v>
      </c>
      <c r="B6" s="166"/>
      <c r="C6" s="167"/>
      <c r="D6" s="167"/>
      <c r="E6" s="167"/>
      <c r="F6" s="167"/>
      <c r="G6" s="167"/>
      <c r="H6" s="87"/>
    </row>
    <row r="7" spans="1:8" ht="15" customHeight="1" x14ac:dyDescent="0.25">
      <c r="A7" s="73" t="s">
        <v>55</v>
      </c>
      <c r="B7" s="92"/>
      <c r="C7" s="168"/>
      <c r="D7" s="168"/>
      <c r="E7" s="168"/>
      <c r="F7" s="168"/>
      <c r="G7" s="168"/>
      <c r="H7" s="88"/>
    </row>
    <row r="8" spans="1:8" ht="15.75" customHeight="1" thickBot="1" x14ac:dyDescent="0.3">
      <c r="A8" s="93" t="s">
        <v>58</v>
      </c>
      <c r="B8" s="90"/>
      <c r="C8" s="169"/>
      <c r="D8" s="169"/>
      <c r="E8" s="169"/>
      <c r="F8" s="169"/>
      <c r="G8" s="91"/>
      <c r="H8" s="89"/>
    </row>
    <row r="9" spans="1:8" ht="15.75" customHeight="1" thickBot="1" x14ac:dyDescent="0.3">
      <c r="A9" s="175" t="s">
        <v>76</v>
      </c>
      <c r="B9" s="176"/>
      <c r="C9" s="120"/>
      <c r="D9" s="121"/>
      <c r="E9" s="122"/>
      <c r="F9" s="122"/>
      <c r="G9" s="122"/>
      <c r="H9" s="123"/>
    </row>
    <row r="10" spans="1:8" ht="15.75" customHeight="1" thickBot="1" x14ac:dyDescent="0.3">
      <c r="A10" s="118"/>
      <c r="B10" s="119"/>
      <c r="C10" s="108"/>
      <c r="D10" s="101"/>
      <c r="E10" s="70"/>
      <c r="F10" s="70"/>
      <c r="G10" s="70"/>
      <c r="H10" s="104"/>
    </row>
    <row r="11" spans="1:8" x14ac:dyDescent="0.25">
      <c r="A11" s="109"/>
      <c r="B11" s="110"/>
      <c r="C11" s="110"/>
      <c r="D11" s="110"/>
      <c r="E11" s="110"/>
      <c r="F11" s="110"/>
      <c r="G11" s="110"/>
      <c r="H11" s="111"/>
    </row>
    <row r="12" spans="1:8" ht="15.75" thickBot="1" x14ac:dyDescent="0.3">
      <c r="A12" s="144" t="s">
        <v>59</v>
      </c>
      <c r="B12" s="145"/>
      <c r="C12" s="145"/>
      <c r="D12" s="145"/>
      <c r="E12" s="145"/>
      <c r="F12" s="145"/>
      <c r="G12" s="145"/>
      <c r="H12" s="146"/>
    </row>
    <row r="13" spans="1:8" ht="15.75" thickBot="1" x14ac:dyDescent="0.3">
      <c r="A13" s="105"/>
      <c r="B13" s="76"/>
      <c r="C13" s="76"/>
      <c r="D13" s="76"/>
      <c r="E13" s="76"/>
      <c r="F13" s="76"/>
      <c r="G13" s="76"/>
      <c r="H13" s="106"/>
    </row>
    <row r="14" spans="1:8" x14ac:dyDescent="0.25">
      <c r="A14" s="157"/>
      <c r="B14" s="151" t="s">
        <v>67</v>
      </c>
      <c r="C14" s="153" t="s">
        <v>68</v>
      </c>
      <c r="D14" s="151" t="s">
        <v>71</v>
      </c>
      <c r="E14" s="155"/>
      <c r="F14" s="183" t="s">
        <v>73</v>
      </c>
      <c r="G14" s="184"/>
      <c r="H14" s="147" t="s">
        <v>74</v>
      </c>
    </row>
    <row r="15" spans="1:8" ht="15.75" thickBot="1" x14ac:dyDescent="0.3">
      <c r="A15" s="158"/>
      <c r="B15" s="152"/>
      <c r="C15" s="154"/>
      <c r="D15" s="152"/>
      <c r="E15" s="156"/>
      <c r="F15" s="185"/>
      <c r="G15" s="186"/>
      <c r="H15" s="148"/>
    </row>
    <row r="16" spans="1:8" x14ac:dyDescent="0.25">
      <c r="A16" s="94" t="s">
        <v>60</v>
      </c>
      <c r="B16" s="79"/>
      <c r="C16" s="81"/>
      <c r="D16" s="159"/>
      <c r="E16" s="160"/>
      <c r="F16" s="187"/>
      <c r="G16" s="188"/>
      <c r="H16" s="95"/>
    </row>
    <row r="17" spans="1:8" x14ac:dyDescent="0.25">
      <c r="A17" s="77" t="s">
        <v>61</v>
      </c>
      <c r="B17" s="80"/>
      <c r="C17" s="82"/>
      <c r="D17" s="161"/>
      <c r="E17" s="162"/>
      <c r="F17" s="161"/>
      <c r="G17" s="163"/>
      <c r="H17" s="96"/>
    </row>
    <row r="18" spans="1:8" x14ac:dyDescent="0.25">
      <c r="A18" s="77" t="s">
        <v>62</v>
      </c>
      <c r="B18" s="80"/>
      <c r="C18" s="82"/>
      <c r="D18" s="161"/>
      <c r="E18" s="162"/>
      <c r="F18" s="161"/>
      <c r="G18" s="163"/>
      <c r="H18" s="96"/>
    </row>
    <row r="19" spans="1:8" x14ac:dyDescent="0.25">
      <c r="A19" s="77" t="s">
        <v>63</v>
      </c>
      <c r="B19" s="80"/>
      <c r="C19" s="82"/>
      <c r="D19" s="189"/>
      <c r="E19" s="190"/>
      <c r="F19" s="161"/>
      <c r="G19" s="163"/>
      <c r="H19" s="96"/>
    </row>
    <row r="20" spans="1:8" x14ac:dyDescent="0.25">
      <c r="A20" s="77" t="s">
        <v>64</v>
      </c>
      <c r="B20" s="80"/>
      <c r="C20" s="82"/>
      <c r="D20" s="189"/>
      <c r="E20" s="190"/>
      <c r="F20" s="161"/>
      <c r="G20" s="163"/>
      <c r="H20" s="96"/>
    </row>
    <row r="21" spans="1:8" x14ac:dyDescent="0.25">
      <c r="A21" s="77" t="s">
        <v>65</v>
      </c>
      <c r="B21" s="80"/>
      <c r="C21" s="82"/>
      <c r="D21" s="189"/>
      <c r="E21" s="190"/>
      <c r="F21" s="161"/>
      <c r="G21" s="163"/>
      <c r="H21" s="96"/>
    </row>
    <row r="22" spans="1:8" x14ac:dyDescent="0.25">
      <c r="A22" s="77" t="s">
        <v>66</v>
      </c>
      <c r="B22" s="80"/>
      <c r="C22" s="83"/>
      <c r="D22" s="161"/>
      <c r="E22" s="162"/>
      <c r="F22" s="161"/>
      <c r="G22" s="163"/>
      <c r="H22" s="96"/>
    </row>
    <row r="23" spans="1:8" x14ac:dyDescent="0.25">
      <c r="A23" s="77" t="s">
        <v>69</v>
      </c>
      <c r="B23" s="85"/>
      <c r="C23" s="83"/>
      <c r="D23" s="161"/>
      <c r="E23" s="162"/>
      <c r="F23" s="161"/>
      <c r="G23" s="163"/>
      <c r="H23" s="96"/>
    </row>
    <row r="24" spans="1:8" ht="15.75" thickBot="1" x14ac:dyDescent="0.3">
      <c r="A24" s="78" t="s">
        <v>70</v>
      </c>
      <c r="B24" s="86"/>
      <c r="C24" s="84"/>
      <c r="D24" s="149"/>
      <c r="E24" s="150"/>
      <c r="F24" s="149"/>
      <c r="G24" s="164"/>
      <c r="H24" s="97"/>
    </row>
    <row r="25" spans="1:8" ht="15.75" thickBot="1" x14ac:dyDescent="0.3">
      <c r="A25" s="98"/>
      <c r="B25" s="99"/>
      <c r="C25" s="99"/>
      <c r="D25" s="99"/>
      <c r="E25" s="99"/>
      <c r="F25" s="99"/>
      <c r="G25" s="99"/>
      <c r="H25" s="107"/>
    </row>
    <row r="26" spans="1:8" ht="15.75" thickBot="1" x14ac:dyDescent="0.3">
      <c r="A26" s="132" t="s">
        <v>80</v>
      </c>
      <c r="B26" s="115"/>
      <c r="C26" s="115"/>
      <c r="D26" s="115"/>
      <c r="E26" s="115"/>
      <c r="F26" s="115"/>
      <c r="G26" s="115"/>
      <c r="H26" s="133"/>
    </row>
    <row r="27" spans="1:8" x14ac:dyDescent="0.25">
      <c r="A27" s="172" t="s">
        <v>87</v>
      </c>
      <c r="B27" s="173"/>
      <c r="C27" s="173"/>
      <c r="D27" s="173"/>
      <c r="E27" s="173"/>
      <c r="F27" s="173"/>
      <c r="G27" s="173"/>
      <c r="H27" s="174"/>
    </row>
    <row r="28" spans="1:8" x14ac:dyDescent="0.25">
      <c r="A28" s="172"/>
      <c r="B28" s="173"/>
      <c r="C28" s="173"/>
      <c r="D28" s="173"/>
      <c r="E28" s="173"/>
      <c r="F28" s="173"/>
      <c r="G28" s="173"/>
      <c r="H28" s="174"/>
    </row>
    <row r="29" spans="1:8" x14ac:dyDescent="0.25">
      <c r="A29" s="98" t="s">
        <v>83</v>
      </c>
      <c r="B29" s="99"/>
      <c r="C29" s="99"/>
      <c r="D29" s="99"/>
      <c r="E29" s="99"/>
      <c r="F29" s="99"/>
      <c r="G29" s="99"/>
      <c r="H29" s="117"/>
    </row>
    <row r="30" spans="1:8" x14ac:dyDescent="0.25">
      <c r="A30" s="136" t="s">
        <v>84</v>
      </c>
      <c r="B30" s="137"/>
      <c r="C30" s="137"/>
      <c r="D30" s="137"/>
      <c r="E30" s="137"/>
      <c r="F30" s="137"/>
      <c r="G30" s="137"/>
      <c r="H30" s="138"/>
    </row>
    <row r="31" spans="1:8" x14ac:dyDescent="0.25">
      <c r="A31" s="136"/>
      <c r="B31" s="137"/>
      <c r="C31" s="137"/>
      <c r="D31" s="137"/>
      <c r="E31" s="137"/>
      <c r="F31" s="137"/>
      <c r="G31" s="137"/>
      <c r="H31" s="138"/>
    </row>
    <row r="32" spans="1:8" x14ac:dyDescent="0.25">
      <c r="A32" s="98"/>
      <c r="B32" s="99"/>
      <c r="C32" s="99"/>
      <c r="D32" s="99"/>
      <c r="E32" s="99"/>
      <c r="F32" s="99"/>
      <c r="G32" s="99"/>
      <c r="H32" s="117"/>
    </row>
    <row r="33" spans="1:8" x14ac:dyDescent="0.25">
      <c r="A33" s="98"/>
      <c r="B33" s="99"/>
      <c r="C33" s="99"/>
      <c r="D33" s="99"/>
      <c r="E33" s="99"/>
      <c r="F33" s="99"/>
      <c r="G33" s="99"/>
      <c r="H33" s="117"/>
    </row>
    <row r="34" spans="1:8" ht="15.75" thickBot="1" x14ac:dyDescent="0.3">
      <c r="A34" s="98"/>
      <c r="B34" s="99"/>
      <c r="C34" s="99"/>
      <c r="D34" s="99"/>
      <c r="E34" s="99"/>
      <c r="F34" s="99"/>
      <c r="G34" s="99"/>
      <c r="H34" s="100"/>
    </row>
    <row r="35" spans="1:8" ht="15.75" thickBot="1" x14ac:dyDescent="0.3">
      <c r="A35" s="114" t="s">
        <v>75</v>
      </c>
      <c r="B35" s="115"/>
      <c r="C35" s="115"/>
      <c r="D35" s="115"/>
      <c r="E35" s="115"/>
      <c r="F35" s="115"/>
      <c r="G35" s="115"/>
      <c r="H35" s="116"/>
    </row>
    <row r="36" spans="1:8" ht="18" customHeight="1" x14ac:dyDescent="0.25">
      <c r="A36" s="124" t="s">
        <v>85</v>
      </c>
      <c r="B36" s="125"/>
      <c r="C36" s="125"/>
      <c r="D36" s="125"/>
      <c r="E36" s="125"/>
      <c r="F36" s="125"/>
      <c r="G36" s="125"/>
      <c r="H36" s="126"/>
    </row>
    <row r="37" spans="1:8" x14ac:dyDescent="0.25">
      <c r="A37" s="73" t="s">
        <v>81</v>
      </c>
      <c r="B37" s="127"/>
      <c r="C37" s="127"/>
      <c r="D37" s="127"/>
      <c r="E37" s="127"/>
      <c r="F37" s="127"/>
      <c r="G37" s="127"/>
      <c r="H37" s="128"/>
    </row>
    <row r="38" spans="1:8" ht="15.75" thickBot="1" x14ac:dyDescent="0.3">
      <c r="A38" s="129" t="s">
        <v>82</v>
      </c>
      <c r="B38" s="130"/>
      <c r="C38" s="130"/>
      <c r="D38" s="130"/>
      <c r="E38" s="130"/>
      <c r="F38" s="130"/>
      <c r="G38" s="130"/>
      <c r="H38" s="131"/>
    </row>
    <row r="39" spans="1:8" ht="15.75" thickBot="1" x14ac:dyDescent="0.3">
      <c r="A39" s="98"/>
      <c r="B39" s="99"/>
      <c r="C39" s="99"/>
      <c r="D39" s="99"/>
      <c r="E39" s="99"/>
      <c r="F39" s="99"/>
      <c r="G39" s="99"/>
      <c r="H39" s="100"/>
    </row>
    <row r="40" spans="1:8" ht="15" customHeight="1" thickBot="1" x14ac:dyDescent="0.3">
      <c r="A40" s="179" t="s">
        <v>78</v>
      </c>
      <c r="B40" s="180"/>
      <c r="C40" s="112"/>
      <c r="D40" s="112"/>
      <c r="E40" s="112"/>
      <c r="F40" s="112"/>
      <c r="G40" s="112"/>
      <c r="H40" s="113"/>
    </row>
    <row r="41" spans="1:8" ht="36" customHeight="1" thickBot="1" x14ac:dyDescent="0.3">
      <c r="A41" s="177" t="s">
        <v>77</v>
      </c>
      <c r="B41" s="178"/>
      <c r="C41" s="102"/>
      <c r="D41" s="135"/>
      <c r="E41" s="135"/>
      <c r="F41" s="181"/>
      <c r="G41" s="181"/>
      <c r="H41" s="182"/>
    </row>
    <row r="42" spans="1:8" ht="25.5" customHeight="1" thickBot="1" x14ac:dyDescent="0.3">
      <c r="A42" s="170" t="s">
        <v>79</v>
      </c>
      <c r="B42" s="171"/>
      <c r="C42" s="103"/>
      <c r="D42" s="102"/>
      <c r="E42" s="102"/>
      <c r="F42" s="102"/>
      <c r="G42" s="102"/>
      <c r="H42" s="134"/>
    </row>
    <row r="43" spans="1:8" x14ac:dyDescent="0.25">
      <c r="A43" s="6"/>
      <c r="B43" s="6"/>
      <c r="C43" s="6"/>
      <c r="D43" s="6"/>
      <c r="E43" s="6"/>
      <c r="F43" s="6"/>
      <c r="G43" s="6"/>
      <c r="H43" s="6"/>
    </row>
    <row r="44" spans="1:8" x14ac:dyDescent="0.25">
      <c r="A44" s="6"/>
      <c r="B44" s="6"/>
      <c r="C44" s="6"/>
      <c r="D44" s="6"/>
      <c r="E44" s="6"/>
      <c r="F44" s="6"/>
      <c r="G44" s="6"/>
      <c r="H44" s="6"/>
    </row>
    <row r="45" spans="1:8" x14ac:dyDescent="0.25">
      <c r="A45" s="6"/>
      <c r="B45" s="6"/>
      <c r="C45" s="6"/>
      <c r="D45" s="6"/>
      <c r="E45" s="6"/>
      <c r="F45" s="6"/>
      <c r="G45" s="6"/>
      <c r="H45" s="6"/>
    </row>
    <row r="46" spans="1:8" x14ac:dyDescent="0.25">
      <c r="A46" s="6"/>
      <c r="B46" s="6"/>
      <c r="C46" s="6"/>
      <c r="D46" s="6"/>
      <c r="E46" s="6"/>
      <c r="F46" s="6"/>
      <c r="G46" s="6"/>
      <c r="H46" s="6"/>
    </row>
    <row r="47" spans="1:8" x14ac:dyDescent="0.25">
      <c r="A47" s="6"/>
      <c r="B47" s="6"/>
      <c r="C47" s="6"/>
      <c r="D47" s="6"/>
      <c r="E47" s="6"/>
      <c r="F47" s="6"/>
      <c r="G47" s="6"/>
      <c r="H47" s="6"/>
    </row>
    <row r="48" spans="1:8" x14ac:dyDescent="0.25">
      <c r="A48" s="6"/>
      <c r="B48" s="6"/>
      <c r="C48" s="6"/>
      <c r="D48" s="6"/>
      <c r="E48" s="6"/>
      <c r="F48" s="6"/>
      <c r="G48" s="6"/>
      <c r="H48" s="6"/>
    </row>
    <row r="49" spans="1:8" x14ac:dyDescent="0.25">
      <c r="A49" s="6"/>
      <c r="B49" s="6"/>
      <c r="C49" s="6"/>
      <c r="D49" s="6"/>
      <c r="E49" s="6"/>
      <c r="F49" s="6"/>
      <c r="G49" s="6"/>
      <c r="H49" s="6"/>
    </row>
    <row r="50" spans="1:8" x14ac:dyDescent="0.25">
      <c r="A50" s="6"/>
      <c r="B50" s="6"/>
      <c r="C50" s="6"/>
      <c r="D50" s="6"/>
      <c r="E50" s="6"/>
      <c r="F50" s="6"/>
      <c r="G50" s="6"/>
      <c r="H50" s="6"/>
    </row>
    <row r="51" spans="1:8" x14ac:dyDescent="0.25">
      <c r="A51" s="6"/>
      <c r="B51" s="6"/>
      <c r="C51" s="6"/>
      <c r="D51" s="6"/>
      <c r="E51" s="6"/>
      <c r="F51" s="6"/>
      <c r="G51" s="6"/>
      <c r="H51" s="6"/>
    </row>
    <row r="52" spans="1:8" x14ac:dyDescent="0.25">
      <c r="A52" s="6"/>
      <c r="B52" s="6"/>
      <c r="C52" s="6"/>
      <c r="D52" s="6"/>
      <c r="E52" s="6"/>
      <c r="F52" s="6"/>
      <c r="G52" s="6"/>
      <c r="H52" s="6"/>
    </row>
    <row r="53" spans="1:8" x14ac:dyDescent="0.25">
      <c r="A53" s="6"/>
      <c r="B53" s="6"/>
      <c r="C53" s="6"/>
      <c r="D53" s="6"/>
      <c r="E53" s="6"/>
      <c r="F53" s="6"/>
      <c r="G53" s="6"/>
      <c r="H53" s="6"/>
    </row>
    <row r="54" spans="1:8" x14ac:dyDescent="0.25">
      <c r="A54" s="6"/>
      <c r="B54" s="6"/>
      <c r="C54" s="6"/>
      <c r="D54" s="6"/>
      <c r="E54" s="6"/>
      <c r="F54" s="6"/>
      <c r="G54" s="6"/>
      <c r="H54" s="6"/>
    </row>
    <row r="55" spans="1:8" x14ac:dyDescent="0.25">
      <c r="A55" s="6"/>
      <c r="B55" s="6"/>
      <c r="C55" s="6"/>
      <c r="D55" s="6"/>
      <c r="E55" s="6"/>
      <c r="F55" s="6"/>
      <c r="G55" s="6"/>
      <c r="H55" s="6"/>
    </row>
    <row r="56" spans="1:8" x14ac:dyDescent="0.25">
      <c r="A56" s="6"/>
      <c r="B56" s="6"/>
      <c r="C56" s="6"/>
      <c r="D56" s="6"/>
      <c r="E56" s="6"/>
      <c r="F56" s="6"/>
      <c r="G56" s="6"/>
      <c r="H56" s="6"/>
    </row>
    <row r="57" spans="1:8" x14ac:dyDescent="0.25">
      <c r="A57" s="6"/>
      <c r="B57" s="6"/>
      <c r="C57" s="6"/>
      <c r="D57" s="6"/>
      <c r="E57" s="6"/>
      <c r="F57" s="6"/>
      <c r="G57" s="6"/>
      <c r="H57" s="6"/>
    </row>
    <row r="58" spans="1:8" x14ac:dyDescent="0.25">
      <c r="A58" s="6"/>
      <c r="B58" s="6"/>
      <c r="C58" s="6"/>
      <c r="D58" s="6"/>
      <c r="E58" s="6"/>
      <c r="F58" s="6"/>
      <c r="G58" s="6"/>
      <c r="H58" s="6"/>
    </row>
    <row r="59" spans="1:8" x14ac:dyDescent="0.25">
      <c r="A59" s="6"/>
      <c r="B59" s="6"/>
      <c r="C59" s="6"/>
      <c r="D59" s="6"/>
      <c r="E59" s="6"/>
      <c r="F59" s="6"/>
      <c r="G59" s="6"/>
      <c r="H59" s="6"/>
    </row>
    <row r="60" spans="1:8" x14ac:dyDescent="0.25">
      <c r="A60" s="6"/>
      <c r="B60" s="6"/>
      <c r="C60" s="6"/>
      <c r="D60" s="6"/>
      <c r="E60" s="6"/>
      <c r="F60" s="6"/>
      <c r="G60" s="6"/>
      <c r="H60" s="6"/>
    </row>
    <row r="61" spans="1:8" x14ac:dyDescent="0.25">
      <c r="A61" s="6"/>
      <c r="B61" s="6"/>
      <c r="C61" s="6"/>
      <c r="D61" s="6"/>
      <c r="E61" s="6"/>
      <c r="F61" s="6"/>
      <c r="G61" s="6"/>
      <c r="H61" s="6"/>
    </row>
    <row r="62" spans="1:8" x14ac:dyDescent="0.25">
      <c r="A62" s="6"/>
      <c r="B62" s="6"/>
      <c r="C62" s="6"/>
      <c r="D62" s="6"/>
      <c r="E62" s="6"/>
      <c r="F62" s="6"/>
      <c r="G62" s="6"/>
      <c r="H62" s="6"/>
    </row>
    <row r="63" spans="1:8" x14ac:dyDescent="0.25">
      <c r="A63" s="6"/>
      <c r="B63" s="6"/>
      <c r="C63" s="6"/>
      <c r="D63" s="6"/>
      <c r="E63" s="6"/>
      <c r="F63" s="6"/>
      <c r="G63" s="6"/>
      <c r="H63" s="6"/>
    </row>
    <row r="64" spans="1:8" x14ac:dyDescent="0.25">
      <c r="A64" s="6"/>
      <c r="B64" s="6"/>
      <c r="C64" s="6"/>
      <c r="D64" s="6"/>
      <c r="E64" s="6"/>
      <c r="F64" s="6"/>
      <c r="G64" s="6"/>
      <c r="H64" s="6"/>
    </row>
    <row r="65" spans="1:8" x14ac:dyDescent="0.25">
      <c r="A65" s="6"/>
      <c r="B65" s="6"/>
      <c r="C65" s="6"/>
      <c r="D65" s="6"/>
      <c r="E65" s="6"/>
      <c r="F65" s="6"/>
      <c r="G65" s="6"/>
      <c r="H65" s="6"/>
    </row>
    <row r="66" spans="1:8" x14ac:dyDescent="0.25">
      <c r="A66" s="6"/>
      <c r="B66" s="6"/>
      <c r="C66" s="6"/>
      <c r="D66" s="6"/>
      <c r="E66" s="6"/>
      <c r="F66" s="6"/>
      <c r="G66" s="6"/>
      <c r="H66" s="6"/>
    </row>
    <row r="67" spans="1:8" x14ac:dyDescent="0.25">
      <c r="A67" s="6"/>
      <c r="B67" s="6"/>
      <c r="C67" s="6"/>
      <c r="D67" s="6"/>
      <c r="E67" s="6"/>
      <c r="F67" s="6"/>
      <c r="G67" s="6"/>
      <c r="H67" s="6"/>
    </row>
    <row r="68" spans="1:8" x14ac:dyDescent="0.25">
      <c r="A68" s="6"/>
      <c r="B68" s="6"/>
      <c r="C68" s="6"/>
      <c r="D68" s="6"/>
      <c r="E68" s="6"/>
      <c r="F68" s="6"/>
      <c r="G68" s="6"/>
      <c r="H68" s="6"/>
    </row>
    <row r="69" spans="1:8" x14ac:dyDescent="0.25">
      <c r="A69" s="6"/>
      <c r="B69" s="6"/>
      <c r="C69" s="6"/>
      <c r="D69" s="6"/>
      <c r="E69" s="6"/>
      <c r="F69" s="6"/>
      <c r="G69" s="6"/>
      <c r="H69" s="6"/>
    </row>
    <row r="70" spans="1:8" x14ac:dyDescent="0.25">
      <c r="A70" s="6"/>
      <c r="B70" s="6"/>
      <c r="C70" s="6"/>
      <c r="D70" s="6"/>
      <c r="E70" s="6"/>
      <c r="F70" s="6"/>
      <c r="G70" s="6"/>
      <c r="H70" s="6"/>
    </row>
  </sheetData>
  <mergeCells count="39">
    <mergeCell ref="A1:H3"/>
    <mergeCell ref="A42:B42"/>
    <mergeCell ref="A27:H28"/>
    <mergeCell ref="A9:B9"/>
    <mergeCell ref="A41:B41"/>
    <mergeCell ref="A40:B40"/>
    <mergeCell ref="F41:H41"/>
    <mergeCell ref="F14:G15"/>
    <mergeCell ref="F16:G16"/>
    <mergeCell ref="F17:G17"/>
    <mergeCell ref="F18:G18"/>
    <mergeCell ref="D19:E19"/>
    <mergeCell ref="D20:E20"/>
    <mergeCell ref="D21:E21"/>
    <mergeCell ref="D22:E22"/>
    <mergeCell ref="D23:E23"/>
    <mergeCell ref="F22:G22"/>
    <mergeCell ref="F23:G23"/>
    <mergeCell ref="A6:B6"/>
    <mergeCell ref="C6:G6"/>
    <mergeCell ref="C7:G7"/>
    <mergeCell ref="C8:F8"/>
    <mergeCell ref="D18:E18"/>
    <mergeCell ref="A30:H31"/>
    <mergeCell ref="A4:H4"/>
    <mergeCell ref="A5:B5"/>
    <mergeCell ref="A12:H12"/>
    <mergeCell ref="H14:H15"/>
    <mergeCell ref="D24:E24"/>
    <mergeCell ref="B14:B15"/>
    <mergeCell ref="C14:C15"/>
    <mergeCell ref="D14:E15"/>
    <mergeCell ref="A14:A15"/>
    <mergeCell ref="D16:E16"/>
    <mergeCell ref="D17:E17"/>
    <mergeCell ref="F19:G19"/>
    <mergeCell ref="F20:G20"/>
    <mergeCell ref="F21:G21"/>
    <mergeCell ref="F24:G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140"/>
  <sheetViews>
    <sheetView tabSelected="1" topLeftCell="A10" workbookViewId="0">
      <selection activeCell="G134" sqref="G134"/>
    </sheetView>
  </sheetViews>
  <sheetFormatPr baseColWidth="10" defaultRowHeight="12.75" x14ac:dyDescent="0.2"/>
  <cols>
    <col min="1" max="1" width="15" style="6" customWidth="1"/>
    <col min="2" max="3" width="11.42578125" style="6"/>
    <col min="4" max="4" width="4.7109375" style="6" hidden="1" customWidth="1"/>
    <col min="5" max="5" width="8.28515625" style="6" customWidth="1"/>
    <col min="6" max="8" width="11.42578125" style="6"/>
    <col min="9" max="9" width="1.140625" style="6" customWidth="1"/>
    <col min="10" max="10" width="16.140625" style="6" customWidth="1"/>
    <col min="11" max="12" width="11.42578125" style="6"/>
    <col min="13" max="13" width="5.85546875" style="6" customWidth="1"/>
    <col min="14" max="14" width="7.140625" style="6" customWidth="1"/>
    <col min="15" max="16384" width="11.42578125" style="6"/>
  </cols>
  <sheetData>
    <row r="1" spans="1:17" ht="15" customHeight="1" x14ac:dyDescent="0.2">
      <c r="A1" s="191" t="s">
        <v>35</v>
      </c>
      <c r="B1" s="192"/>
      <c r="C1" s="192"/>
      <c r="D1" s="192"/>
      <c r="E1" s="192"/>
      <c r="F1" s="192"/>
      <c r="G1" s="192"/>
      <c r="H1" s="193"/>
      <c r="J1" s="191" t="s">
        <v>35</v>
      </c>
      <c r="K1" s="192"/>
      <c r="L1" s="192"/>
      <c r="M1" s="192"/>
      <c r="N1" s="192"/>
      <c r="O1" s="192"/>
      <c r="P1" s="192"/>
      <c r="Q1" s="193"/>
    </row>
    <row r="2" spans="1:17" ht="51.75" thickBot="1" x14ac:dyDescent="0.25">
      <c r="A2" s="215" t="s">
        <v>22</v>
      </c>
      <c r="B2" s="216"/>
      <c r="C2" s="216"/>
      <c r="D2" s="216"/>
      <c r="E2" s="58" t="s">
        <v>36</v>
      </c>
      <c r="F2" s="59" t="s">
        <v>37</v>
      </c>
      <c r="G2" s="60" t="s">
        <v>5</v>
      </c>
      <c r="H2" s="61" t="s">
        <v>6</v>
      </c>
      <c r="J2" s="215" t="s">
        <v>22</v>
      </c>
      <c r="K2" s="216"/>
      <c r="L2" s="216"/>
      <c r="M2" s="216"/>
      <c r="N2" s="58" t="s">
        <v>36</v>
      </c>
      <c r="O2" s="59" t="s">
        <v>37</v>
      </c>
      <c r="P2" s="60" t="s">
        <v>5</v>
      </c>
      <c r="Q2" s="61" t="s">
        <v>6</v>
      </c>
    </row>
    <row r="3" spans="1:17" ht="12.75" customHeight="1" x14ac:dyDescent="0.2">
      <c r="A3" s="217" t="s">
        <v>23</v>
      </c>
      <c r="B3" s="218"/>
      <c r="C3" s="218"/>
      <c r="D3" s="218"/>
      <c r="E3" s="7"/>
      <c r="F3" s="8"/>
      <c r="G3" s="8"/>
      <c r="H3" s="9"/>
      <c r="J3" s="217" t="s">
        <v>43</v>
      </c>
      <c r="K3" s="218"/>
      <c r="L3" s="218"/>
      <c r="M3" s="218"/>
      <c r="N3" s="54"/>
      <c r="O3" s="55"/>
      <c r="P3" s="55"/>
      <c r="Q3" s="56"/>
    </row>
    <row r="4" spans="1:17" ht="15" customHeight="1" x14ac:dyDescent="0.2">
      <c r="A4" s="219" t="s">
        <v>11</v>
      </c>
      <c r="B4" s="220"/>
      <c r="C4" s="220"/>
      <c r="D4" s="220"/>
      <c r="E4" s="57">
        <v>3</v>
      </c>
      <c r="F4" s="47">
        <v>90</v>
      </c>
      <c r="G4" s="47">
        <v>4000</v>
      </c>
      <c r="H4" s="45">
        <f t="shared" ref="H4:H10" si="0">F4*G4</f>
        <v>360000</v>
      </c>
      <c r="J4" s="219" t="s">
        <v>44</v>
      </c>
      <c r="K4" s="220"/>
      <c r="L4" s="220"/>
      <c r="M4" s="220"/>
      <c r="N4" s="57">
        <v>3</v>
      </c>
      <c r="O4" s="47">
        <v>8</v>
      </c>
      <c r="P4" s="47">
        <v>4000</v>
      </c>
      <c r="Q4" s="45">
        <f t="shared" ref="Q4:Q11" si="1">O4*P4</f>
        <v>32000</v>
      </c>
    </row>
    <row r="5" spans="1:17" ht="15" customHeight="1" x14ac:dyDescent="0.2">
      <c r="A5" s="194" t="s">
        <v>12</v>
      </c>
      <c r="B5" s="195"/>
      <c r="C5" s="195"/>
      <c r="D5" s="196"/>
      <c r="E5" s="57">
        <v>3</v>
      </c>
      <c r="F5" s="47">
        <v>35</v>
      </c>
      <c r="G5" s="47">
        <v>4000</v>
      </c>
      <c r="H5" s="46">
        <f t="shared" si="0"/>
        <v>140000</v>
      </c>
      <c r="J5" s="219" t="s">
        <v>40</v>
      </c>
      <c r="K5" s="221"/>
      <c r="L5" s="221"/>
      <c r="M5" s="221"/>
      <c r="N5" s="57">
        <v>3</v>
      </c>
      <c r="O5" s="47">
        <v>20</v>
      </c>
      <c r="P5" s="47">
        <v>4000</v>
      </c>
      <c r="Q5" s="46">
        <f t="shared" si="1"/>
        <v>80000</v>
      </c>
    </row>
    <row r="6" spans="1:17" ht="12.75" customHeight="1" x14ac:dyDescent="0.2">
      <c r="A6" s="222" t="s">
        <v>13</v>
      </c>
      <c r="B6" s="220"/>
      <c r="C6" s="220"/>
      <c r="D6" s="220"/>
      <c r="E6" s="57">
        <v>3</v>
      </c>
      <c r="F6" s="47">
        <v>58</v>
      </c>
      <c r="G6" s="47">
        <v>4000</v>
      </c>
      <c r="H6" s="46">
        <f t="shared" si="0"/>
        <v>232000</v>
      </c>
      <c r="J6" s="209" t="s">
        <v>45</v>
      </c>
      <c r="K6" s="210"/>
      <c r="L6" s="210"/>
      <c r="M6" s="210"/>
      <c r="N6" s="57">
        <v>3</v>
      </c>
      <c r="O6" s="47">
        <v>0.5</v>
      </c>
      <c r="P6" s="47">
        <v>7450</v>
      </c>
      <c r="Q6" s="46">
        <f t="shared" si="1"/>
        <v>3725</v>
      </c>
    </row>
    <row r="7" spans="1:17" x14ac:dyDescent="0.2">
      <c r="A7" s="222" t="s">
        <v>14</v>
      </c>
      <c r="B7" s="220"/>
      <c r="C7" s="220"/>
      <c r="D7" s="220"/>
      <c r="E7" s="57">
        <v>3</v>
      </c>
      <c r="F7" s="47">
        <v>14</v>
      </c>
      <c r="G7" s="47">
        <v>4000</v>
      </c>
      <c r="H7" s="46">
        <f t="shared" si="0"/>
        <v>56000</v>
      </c>
      <c r="J7" s="209"/>
      <c r="K7" s="210"/>
      <c r="L7" s="210"/>
      <c r="M7" s="210"/>
      <c r="N7" s="47"/>
      <c r="O7" s="47"/>
      <c r="P7" s="47"/>
      <c r="Q7" s="46">
        <f t="shared" si="1"/>
        <v>0</v>
      </c>
    </row>
    <row r="8" spans="1:17" ht="13.5" customHeight="1" x14ac:dyDescent="0.2">
      <c r="A8" s="197" t="s">
        <v>15</v>
      </c>
      <c r="B8" s="198"/>
      <c r="C8" s="199"/>
      <c r="D8" s="12"/>
      <c r="E8" s="57">
        <v>3</v>
      </c>
      <c r="F8" s="48">
        <v>40</v>
      </c>
      <c r="G8" s="47">
        <v>4000</v>
      </c>
      <c r="H8" s="46">
        <f t="shared" si="0"/>
        <v>160000</v>
      </c>
      <c r="J8" s="51"/>
      <c r="K8" s="50"/>
      <c r="L8" s="50"/>
      <c r="M8" s="13"/>
      <c r="N8" s="48"/>
      <c r="O8" s="48"/>
      <c r="P8" s="48"/>
      <c r="Q8" s="46">
        <f t="shared" si="1"/>
        <v>0</v>
      </c>
    </row>
    <row r="9" spans="1:17" x14ac:dyDescent="0.2">
      <c r="A9" s="197" t="s">
        <v>16</v>
      </c>
      <c r="B9" s="198"/>
      <c r="C9" s="199"/>
      <c r="D9" s="12"/>
      <c r="E9" s="57">
        <v>3</v>
      </c>
      <c r="F9" s="48">
        <v>16</v>
      </c>
      <c r="G9" s="47">
        <v>4000</v>
      </c>
      <c r="H9" s="45">
        <f t="shared" si="0"/>
        <v>64000</v>
      </c>
      <c r="J9" s="52"/>
      <c r="K9" s="53"/>
      <c r="L9" s="53"/>
      <c r="M9" s="11"/>
      <c r="N9" s="48"/>
      <c r="O9" s="48"/>
      <c r="P9" s="48"/>
      <c r="Q9" s="46">
        <f t="shared" si="1"/>
        <v>0</v>
      </c>
    </row>
    <row r="10" spans="1:17" ht="13.5" customHeight="1" x14ac:dyDescent="0.2">
      <c r="A10" s="197" t="s">
        <v>17</v>
      </c>
      <c r="B10" s="198"/>
      <c r="C10" s="199"/>
      <c r="D10" s="12"/>
      <c r="E10" s="57">
        <v>3</v>
      </c>
      <c r="F10" s="48">
        <v>13</v>
      </c>
      <c r="G10" s="47">
        <v>4000</v>
      </c>
      <c r="H10" s="45">
        <f t="shared" si="0"/>
        <v>52000</v>
      </c>
      <c r="J10" s="211"/>
      <c r="K10" s="212"/>
      <c r="L10" s="212"/>
      <c r="M10" s="212"/>
      <c r="N10" s="48"/>
      <c r="O10" s="48"/>
      <c r="P10" s="48"/>
      <c r="Q10" s="46">
        <f t="shared" si="1"/>
        <v>0</v>
      </c>
    </row>
    <row r="11" spans="1:17" ht="13.5" customHeight="1" thickBot="1" x14ac:dyDescent="0.25">
      <c r="A11" s="225" t="s">
        <v>18</v>
      </c>
      <c r="B11" s="226"/>
      <c r="C11" s="226"/>
      <c r="D11" s="227"/>
      <c r="E11" s="75">
        <v>3</v>
      </c>
      <c r="F11" s="49">
        <v>4</v>
      </c>
      <c r="G11" s="47">
        <v>4000</v>
      </c>
      <c r="H11" s="45">
        <f t="shared" ref="H11" si="2">F11*G11</f>
        <v>16000</v>
      </c>
      <c r="J11" s="213"/>
      <c r="K11" s="214"/>
      <c r="L11" s="214"/>
      <c r="M11" s="214"/>
      <c r="N11" s="13"/>
      <c r="O11" s="49"/>
      <c r="P11" s="48"/>
      <c r="Q11" s="45">
        <f t="shared" si="1"/>
        <v>0</v>
      </c>
    </row>
    <row r="12" spans="1:17" ht="15.75" customHeight="1" thickBot="1" x14ac:dyDescent="0.25">
      <c r="A12" s="64"/>
      <c r="B12" s="65"/>
      <c r="C12" s="65"/>
      <c r="D12" s="66"/>
      <c r="E12" s="67"/>
      <c r="F12" s="203" t="s">
        <v>33</v>
      </c>
      <c r="G12" s="204"/>
      <c r="H12" s="62">
        <f>SUM(H4:H11)</f>
        <v>1080000</v>
      </c>
      <c r="J12" s="64"/>
      <c r="K12" s="65"/>
      <c r="L12" s="65"/>
      <c r="M12" s="66"/>
      <c r="N12" s="67"/>
      <c r="O12" s="223" t="s">
        <v>33</v>
      </c>
      <c r="P12" s="224"/>
      <c r="Q12" s="62">
        <f>SUM(Q4:Q11)</f>
        <v>115725</v>
      </c>
    </row>
    <row r="13" spans="1:17" x14ac:dyDescent="0.2">
      <c r="A13" s="17"/>
      <c r="B13" s="18"/>
      <c r="C13" s="19"/>
      <c r="D13" s="20"/>
      <c r="E13" s="19"/>
      <c r="F13" s="1"/>
      <c r="G13" s="1"/>
      <c r="H13" s="21"/>
      <c r="J13" s="17"/>
      <c r="K13" s="18"/>
      <c r="L13" s="19"/>
      <c r="M13" s="20"/>
      <c r="N13" s="19"/>
      <c r="O13" s="1"/>
      <c r="P13" s="1"/>
      <c r="Q13" s="21"/>
    </row>
    <row r="14" spans="1:17" ht="13.5" thickBot="1" x14ac:dyDescent="0.25">
      <c r="A14" s="14"/>
      <c r="B14" s="22">
        <f>H12</f>
        <v>1080000</v>
      </c>
      <c r="C14" s="23" t="s">
        <v>7</v>
      </c>
      <c r="D14" s="24"/>
      <c r="E14" s="2" t="s">
        <v>0</v>
      </c>
      <c r="F14" s="25">
        <f>B14/B15</f>
        <v>245.45454545454547</v>
      </c>
      <c r="G14" s="26" t="s">
        <v>20</v>
      </c>
      <c r="H14" s="27"/>
      <c r="J14" s="14"/>
      <c r="K14" s="22">
        <f>Q12</f>
        <v>115725</v>
      </c>
      <c r="L14" s="23" t="s">
        <v>7</v>
      </c>
      <c r="M14" s="24"/>
      <c r="N14" s="2" t="s">
        <v>0</v>
      </c>
      <c r="O14" s="25">
        <f>K14/K15</f>
        <v>26.301136363636363</v>
      </c>
      <c r="P14" s="26" t="s">
        <v>20</v>
      </c>
      <c r="Q14" s="27"/>
    </row>
    <row r="15" spans="1:17" x14ac:dyDescent="0.2">
      <c r="A15" s="14"/>
      <c r="B15" s="28">
        <v>4400</v>
      </c>
      <c r="C15" s="3" t="s">
        <v>19</v>
      </c>
      <c r="D15" s="29"/>
      <c r="E15" s="29"/>
      <c r="F15" s="4"/>
      <c r="G15" s="4"/>
      <c r="H15" s="30"/>
      <c r="J15" s="14"/>
      <c r="K15" s="28">
        <v>4400</v>
      </c>
      <c r="L15" s="3" t="s">
        <v>19</v>
      </c>
      <c r="M15" s="29"/>
      <c r="N15" s="29"/>
      <c r="O15" s="4"/>
      <c r="P15" s="4"/>
      <c r="Q15" s="30"/>
    </row>
    <row r="16" spans="1:17" ht="13.5" thickBot="1" x14ac:dyDescent="0.25">
      <c r="A16" s="205"/>
      <c r="B16" s="206"/>
      <c r="C16" s="206"/>
      <c r="D16" s="206"/>
      <c r="E16" s="206"/>
      <c r="F16" s="206"/>
      <c r="G16" s="5"/>
      <c r="H16" s="31"/>
      <c r="J16" s="205"/>
      <c r="K16" s="206"/>
      <c r="L16" s="206"/>
      <c r="M16" s="206"/>
      <c r="N16" s="206"/>
      <c r="O16" s="206"/>
      <c r="P16" s="5"/>
      <c r="Q16" s="31"/>
    </row>
    <row r="17" spans="1:17" ht="15.75" customHeight="1" thickBot="1" x14ac:dyDescent="0.25">
      <c r="A17" s="32"/>
      <c r="B17" s="33"/>
      <c r="C17" s="33"/>
      <c r="D17" s="33"/>
      <c r="E17" s="33"/>
      <c r="F17" s="203" t="s">
        <v>34</v>
      </c>
      <c r="G17" s="204"/>
      <c r="H17" s="63">
        <f>F14</f>
        <v>245.45454545454547</v>
      </c>
      <c r="J17" s="32"/>
      <c r="K17" s="33"/>
      <c r="L17" s="33"/>
      <c r="M17" s="33"/>
      <c r="N17" s="33"/>
      <c r="O17" s="203" t="s">
        <v>34</v>
      </c>
      <c r="P17" s="204"/>
      <c r="Q17" s="63">
        <f>O14</f>
        <v>26.301136363636363</v>
      </c>
    </row>
    <row r="18" spans="1:17" x14ac:dyDescent="0.2">
      <c r="A18" s="34" t="s">
        <v>1</v>
      </c>
      <c r="B18" s="35">
        <v>27</v>
      </c>
      <c r="C18" s="20" t="s">
        <v>2</v>
      </c>
      <c r="D18" s="20"/>
      <c r="E18" s="20"/>
      <c r="F18" s="20"/>
      <c r="G18" s="20"/>
      <c r="H18" s="36"/>
      <c r="J18" s="34" t="s">
        <v>1</v>
      </c>
      <c r="K18" s="35">
        <v>25</v>
      </c>
      <c r="L18" s="20" t="s">
        <v>2</v>
      </c>
      <c r="M18" s="20"/>
      <c r="N18" s="20"/>
      <c r="O18" s="20"/>
      <c r="P18" s="20"/>
      <c r="Q18" s="36"/>
    </row>
    <row r="19" spans="1:17" x14ac:dyDescent="0.2">
      <c r="A19" s="37"/>
      <c r="B19" s="24"/>
      <c r="C19" s="24"/>
      <c r="D19" s="24"/>
      <c r="E19" s="24"/>
      <c r="F19" s="24"/>
      <c r="G19" s="24"/>
      <c r="H19" s="27"/>
      <c r="J19" s="37"/>
      <c r="K19" s="24"/>
      <c r="L19" s="24"/>
      <c r="M19" s="24"/>
      <c r="N19" s="24"/>
      <c r="O19" s="24"/>
      <c r="P19" s="24"/>
      <c r="Q19" s="27"/>
    </row>
    <row r="20" spans="1:17" ht="13.5" thickBot="1" x14ac:dyDescent="0.25">
      <c r="A20" s="37" t="s">
        <v>3</v>
      </c>
      <c r="B20" s="38">
        <f>F14</f>
        <v>245.45454545454547</v>
      </c>
      <c r="C20" s="26" t="s">
        <v>20</v>
      </c>
      <c r="D20" s="24"/>
      <c r="E20" s="24" t="s">
        <v>4</v>
      </c>
      <c r="F20" s="40">
        <f>B20/B21</f>
        <v>9.0909090909090917</v>
      </c>
      <c r="G20" s="24" t="s">
        <v>8</v>
      </c>
      <c r="H20" s="27"/>
      <c r="J20" s="37" t="s">
        <v>3</v>
      </c>
      <c r="K20" s="38">
        <f>O14</f>
        <v>26.301136363636363</v>
      </c>
      <c r="L20" s="26" t="s">
        <v>20</v>
      </c>
      <c r="M20" s="24"/>
      <c r="N20" s="24" t="s">
        <v>4</v>
      </c>
      <c r="O20" s="40">
        <f>K20/K21</f>
        <v>1.0520454545454545</v>
      </c>
      <c r="P20" s="24" t="s">
        <v>8</v>
      </c>
      <c r="Q20" s="27"/>
    </row>
    <row r="21" spans="1:17" x14ac:dyDescent="0.2">
      <c r="A21" s="37"/>
      <c r="B21" s="40">
        <f>B18</f>
        <v>27</v>
      </c>
      <c r="C21" s="24" t="s">
        <v>2</v>
      </c>
      <c r="D21" s="41"/>
      <c r="E21" s="24"/>
      <c r="F21" s="40"/>
      <c r="G21" s="24"/>
      <c r="H21" s="27"/>
      <c r="J21" s="37"/>
      <c r="K21" s="40">
        <f>K18</f>
        <v>25</v>
      </c>
      <c r="L21" s="24" t="s">
        <v>2</v>
      </c>
      <c r="M21" s="41"/>
      <c r="N21" s="24"/>
      <c r="O21" s="40"/>
      <c r="P21" s="24"/>
      <c r="Q21" s="27"/>
    </row>
    <row r="22" spans="1:17" ht="13.5" thickBot="1" x14ac:dyDescent="0.25">
      <c r="A22" s="42"/>
      <c r="B22" s="39"/>
      <c r="C22" s="39"/>
      <c r="D22" s="39"/>
      <c r="E22" s="39"/>
      <c r="F22" s="39"/>
      <c r="G22" s="39"/>
      <c r="H22" s="43"/>
      <c r="J22" s="42"/>
      <c r="K22" s="39"/>
      <c r="L22" s="39"/>
      <c r="M22" s="39"/>
      <c r="N22" s="39"/>
      <c r="O22" s="39"/>
      <c r="P22" s="39"/>
      <c r="Q22" s="43"/>
    </row>
    <row r="23" spans="1:17" ht="16.5" customHeight="1" thickBot="1" x14ac:dyDescent="0.25">
      <c r="A23" s="42"/>
      <c r="B23" s="39"/>
      <c r="C23" s="39"/>
      <c r="D23" s="39"/>
      <c r="E23" s="39"/>
      <c r="F23" s="207" t="s">
        <v>21</v>
      </c>
      <c r="G23" s="208"/>
      <c r="H23" s="44">
        <f>F20</f>
        <v>9.0909090909090917</v>
      </c>
      <c r="J23" s="42"/>
      <c r="K23" s="39"/>
      <c r="L23" s="39"/>
      <c r="M23" s="39"/>
      <c r="N23" s="39"/>
      <c r="O23" s="207" t="s">
        <v>21</v>
      </c>
      <c r="P23" s="208"/>
      <c r="Q23" s="44">
        <f>O20</f>
        <v>1.0520454545454545</v>
      </c>
    </row>
    <row r="26" spans="1:17" ht="13.5" thickBot="1" x14ac:dyDescent="0.25"/>
    <row r="27" spans="1:17" x14ac:dyDescent="0.2">
      <c r="A27" s="191" t="s">
        <v>35</v>
      </c>
      <c r="B27" s="192"/>
      <c r="C27" s="192"/>
      <c r="D27" s="192"/>
      <c r="E27" s="192"/>
      <c r="F27" s="192"/>
      <c r="G27" s="192"/>
      <c r="H27" s="193"/>
      <c r="J27" s="191" t="s">
        <v>35</v>
      </c>
      <c r="K27" s="192"/>
      <c r="L27" s="192"/>
      <c r="M27" s="192"/>
      <c r="N27" s="192"/>
      <c r="O27" s="192"/>
      <c r="P27" s="192"/>
      <c r="Q27" s="193"/>
    </row>
    <row r="28" spans="1:17" ht="51.75" thickBot="1" x14ac:dyDescent="0.25">
      <c r="A28" s="215" t="s">
        <v>22</v>
      </c>
      <c r="B28" s="216"/>
      <c r="C28" s="216"/>
      <c r="D28" s="216"/>
      <c r="E28" s="58" t="s">
        <v>36</v>
      </c>
      <c r="F28" s="59" t="s">
        <v>37</v>
      </c>
      <c r="G28" s="60" t="s">
        <v>5</v>
      </c>
      <c r="H28" s="61" t="s">
        <v>6</v>
      </c>
      <c r="J28" s="215" t="s">
        <v>22</v>
      </c>
      <c r="K28" s="216"/>
      <c r="L28" s="216"/>
      <c r="M28" s="216"/>
      <c r="N28" s="58" t="s">
        <v>36</v>
      </c>
      <c r="O28" s="59" t="s">
        <v>37</v>
      </c>
      <c r="P28" s="60" t="s">
        <v>5</v>
      </c>
      <c r="Q28" s="61" t="s">
        <v>6</v>
      </c>
    </row>
    <row r="29" spans="1:17" ht="12.75" customHeight="1" x14ac:dyDescent="0.2">
      <c r="A29" s="217" t="s">
        <v>39</v>
      </c>
      <c r="B29" s="218"/>
      <c r="C29" s="218"/>
      <c r="D29" s="218"/>
      <c r="E29" s="54"/>
      <c r="F29" s="8"/>
      <c r="G29" s="8"/>
      <c r="H29" s="9"/>
      <c r="J29" s="217" t="s">
        <v>27</v>
      </c>
      <c r="K29" s="218"/>
      <c r="L29" s="218"/>
      <c r="M29" s="218"/>
      <c r="N29" s="54"/>
      <c r="O29" s="55"/>
      <c r="P29" s="55"/>
      <c r="Q29" s="56"/>
    </row>
    <row r="30" spans="1:17" ht="12.75" customHeight="1" x14ac:dyDescent="0.2">
      <c r="A30" s="219" t="s">
        <v>24</v>
      </c>
      <c r="B30" s="220"/>
      <c r="C30" s="220"/>
      <c r="D30" s="220"/>
      <c r="E30" s="57">
        <v>3</v>
      </c>
      <c r="F30" s="47">
        <v>4</v>
      </c>
      <c r="G30" s="47">
        <v>4000</v>
      </c>
      <c r="H30" s="45">
        <f t="shared" ref="H30:H37" si="3">F30*G30</f>
        <v>16000</v>
      </c>
      <c r="J30" s="219" t="s">
        <v>28</v>
      </c>
      <c r="K30" s="220"/>
      <c r="L30" s="220"/>
      <c r="M30" s="220"/>
      <c r="N30" s="57">
        <v>3</v>
      </c>
      <c r="O30" s="47">
        <v>55</v>
      </c>
      <c r="P30" s="47">
        <v>4000</v>
      </c>
      <c r="Q30" s="45">
        <f t="shared" ref="Q30:Q37" si="4">O30*P30</f>
        <v>220000</v>
      </c>
    </row>
    <row r="31" spans="1:17" ht="12.75" customHeight="1" x14ac:dyDescent="0.2">
      <c r="A31" s="219" t="s">
        <v>40</v>
      </c>
      <c r="B31" s="221"/>
      <c r="C31" s="221"/>
      <c r="D31" s="221"/>
      <c r="E31" s="57">
        <v>3</v>
      </c>
      <c r="F31" s="47">
        <v>20</v>
      </c>
      <c r="G31" s="47">
        <v>4000</v>
      </c>
      <c r="H31" s="46">
        <f t="shared" si="3"/>
        <v>80000</v>
      </c>
      <c r="J31" s="219" t="s">
        <v>29</v>
      </c>
      <c r="K31" s="221"/>
      <c r="L31" s="221"/>
      <c r="M31" s="221"/>
      <c r="N31" s="57">
        <v>3</v>
      </c>
      <c r="O31" s="47">
        <v>120</v>
      </c>
      <c r="P31" s="47">
        <v>4000</v>
      </c>
      <c r="Q31" s="46">
        <f t="shared" si="4"/>
        <v>480000</v>
      </c>
    </row>
    <row r="32" spans="1:17" ht="12.75" customHeight="1" x14ac:dyDescent="0.2">
      <c r="A32" s="222" t="s">
        <v>26</v>
      </c>
      <c r="B32" s="220"/>
      <c r="C32" s="220"/>
      <c r="D32" s="220"/>
      <c r="E32" s="57">
        <v>3</v>
      </c>
      <c r="F32" s="47">
        <v>2</v>
      </c>
      <c r="G32" s="47">
        <v>6000</v>
      </c>
      <c r="H32" s="46">
        <f t="shared" si="3"/>
        <v>12000</v>
      </c>
      <c r="J32" s="222" t="s">
        <v>30</v>
      </c>
      <c r="K32" s="220"/>
      <c r="L32" s="220"/>
      <c r="M32" s="220"/>
      <c r="N32" s="57">
        <v>3</v>
      </c>
      <c r="O32" s="47">
        <v>20</v>
      </c>
      <c r="P32" s="47">
        <v>6000</v>
      </c>
      <c r="Q32" s="46">
        <f t="shared" si="4"/>
        <v>120000</v>
      </c>
    </row>
    <row r="33" spans="1:17" ht="12.75" customHeight="1" x14ac:dyDescent="0.2">
      <c r="A33" s="209" t="s">
        <v>41</v>
      </c>
      <c r="B33" s="210"/>
      <c r="C33" s="210"/>
      <c r="D33" s="210"/>
      <c r="E33" s="57">
        <v>3</v>
      </c>
      <c r="F33" s="47">
        <v>0.3</v>
      </c>
      <c r="G33" s="47">
        <v>7450</v>
      </c>
      <c r="H33" s="46">
        <f t="shared" si="3"/>
        <v>2235</v>
      </c>
      <c r="J33" s="209" t="s">
        <v>31</v>
      </c>
      <c r="K33" s="210"/>
      <c r="L33" s="210"/>
      <c r="M33" s="210"/>
      <c r="N33" s="57">
        <v>3</v>
      </c>
      <c r="O33" s="47">
        <v>3</v>
      </c>
      <c r="P33" s="47">
        <v>7450</v>
      </c>
      <c r="Q33" s="46">
        <f t="shared" si="4"/>
        <v>22350</v>
      </c>
    </row>
    <row r="34" spans="1:17" ht="12.75" customHeight="1" x14ac:dyDescent="0.2">
      <c r="A34" s="51" t="s">
        <v>9</v>
      </c>
      <c r="B34" s="50"/>
      <c r="C34" s="50"/>
      <c r="D34" s="13"/>
      <c r="E34" s="57">
        <v>3</v>
      </c>
      <c r="F34" s="48">
        <v>0.4</v>
      </c>
      <c r="G34" s="47">
        <v>4000</v>
      </c>
      <c r="H34" s="46">
        <f t="shared" si="3"/>
        <v>1600</v>
      </c>
      <c r="J34" s="51" t="s">
        <v>9</v>
      </c>
      <c r="K34" s="50"/>
      <c r="L34" s="50"/>
      <c r="M34" s="13"/>
      <c r="N34" s="57">
        <v>3</v>
      </c>
      <c r="O34" s="48">
        <v>4</v>
      </c>
      <c r="P34" s="48">
        <v>4000</v>
      </c>
      <c r="Q34" s="46">
        <f t="shared" si="4"/>
        <v>16000</v>
      </c>
    </row>
    <row r="35" spans="1:17" ht="12.75" customHeight="1" x14ac:dyDescent="0.2">
      <c r="A35" s="52" t="s">
        <v>25</v>
      </c>
      <c r="B35" s="53"/>
      <c r="C35" s="53"/>
      <c r="D35" s="11"/>
      <c r="E35" s="57">
        <v>3</v>
      </c>
      <c r="F35" s="48">
        <v>0.5</v>
      </c>
      <c r="G35" s="47">
        <v>5000</v>
      </c>
      <c r="H35" s="45">
        <f t="shared" si="3"/>
        <v>2500</v>
      </c>
      <c r="J35" s="52" t="s">
        <v>25</v>
      </c>
      <c r="K35" s="53"/>
      <c r="L35" s="53"/>
      <c r="M35" s="11"/>
      <c r="N35" s="57">
        <v>3</v>
      </c>
      <c r="O35" s="48">
        <v>5</v>
      </c>
      <c r="P35" s="48">
        <v>6000</v>
      </c>
      <c r="Q35" s="46">
        <f t="shared" si="4"/>
        <v>30000</v>
      </c>
    </row>
    <row r="36" spans="1:17" ht="12.75" customHeight="1" x14ac:dyDescent="0.2">
      <c r="A36" s="211" t="s">
        <v>42</v>
      </c>
      <c r="B36" s="212"/>
      <c r="C36" s="212"/>
      <c r="D36" s="212"/>
      <c r="E36" s="57">
        <v>3</v>
      </c>
      <c r="F36" s="48">
        <v>0.3</v>
      </c>
      <c r="G36" s="47">
        <v>7450</v>
      </c>
      <c r="H36" s="45">
        <f t="shared" si="3"/>
        <v>2235</v>
      </c>
      <c r="J36" s="211" t="s">
        <v>32</v>
      </c>
      <c r="K36" s="212"/>
      <c r="L36" s="212"/>
      <c r="M36" s="212"/>
      <c r="N36" s="57">
        <v>3</v>
      </c>
      <c r="O36" s="48">
        <v>6</v>
      </c>
      <c r="P36" s="48">
        <v>7450</v>
      </c>
      <c r="Q36" s="46">
        <f t="shared" si="4"/>
        <v>44700</v>
      </c>
    </row>
    <row r="37" spans="1:17" ht="13.5" customHeight="1" thickBot="1" x14ac:dyDescent="0.25">
      <c r="A37" s="213" t="s">
        <v>38</v>
      </c>
      <c r="B37" s="214"/>
      <c r="C37" s="214"/>
      <c r="D37" s="214"/>
      <c r="E37" s="57">
        <v>3</v>
      </c>
      <c r="F37" s="49">
        <v>0.4</v>
      </c>
      <c r="G37" s="47">
        <v>4000</v>
      </c>
      <c r="H37" s="45">
        <f t="shared" si="3"/>
        <v>1600</v>
      </c>
      <c r="J37" s="211" t="s">
        <v>38</v>
      </c>
      <c r="K37" s="212"/>
      <c r="L37" s="212"/>
      <c r="M37" s="212"/>
      <c r="N37" s="57">
        <v>3</v>
      </c>
      <c r="O37" s="48">
        <v>4</v>
      </c>
      <c r="P37" s="48">
        <v>4000</v>
      </c>
      <c r="Q37" s="45">
        <f t="shared" si="4"/>
        <v>16000</v>
      </c>
    </row>
    <row r="38" spans="1:17" ht="13.5" thickBot="1" x14ac:dyDescent="0.25">
      <c r="A38" s="64"/>
      <c r="B38" s="65"/>
      <c r="C38" s="65"/>
      <c r="D38" s="66"/>
      <c r="E38" s="67"/>
      <c r="F38" s="203" t="s">
        <v>33</v>
      </c>
      <c r="G38" s="204"/>
      <c r="H38" s="62">
        <f>SUM(H30:H37)</f>
        <v>118170</v>
      </c>
      <c r="J38" s="14"/>
      <c r="K38" s="15"/>
      <c r="L38" s="15"/>
      <c r="M38" s="16"/>
      <c r="N38" s="16"/>
      <c r="O38" s="223" t="s">
        <v>33</v>
      </c>
      <c r="P38" s="224"/>
      <c r="Q38" s="62">
        <f>SUM(Q30:Q37)</f>
        <v>949050</v>
      </c>
    </row>
    <row r="39" spans="1:17" x14ac:dyDescent="0.2">
      <c r="A39" s="17"/>
      <c r="B39" s="18"/>
      <c r="C39" s="19"/>
      <c r="D39" s="20"/>
      <c r="E39" s="19"/>
      <c r="F39" s="1"/>
      <c r="G39" s="1"/>
      <c r="H39" s="21"/>
      <c r="J39" s="17"/>
      <c r="K39" s="18"/>
      <c r="L39" s="19"/>
      <c r="M39" s="20"/>
      <c r="N39" s="19"/>
      <c r="O39" s="1"/>
      <c r="P39" s="1"/>
      <c r="Q39" s="21"/>
    </row>
    <row r="40" spans="1:17" ht="13.5" thickBot="1" x14ac:dyDescent="0.25">
      <c r="A40" s="14"/>
      <c r="B40" s="22">
        <f>H38</f>
        <v>118170</v>
      </c>
      <c r="C40" s="23" t="s">
        <v>7</v>
      </c>
      <c r="D40" s="24"/>
      <c r="E40" s="2" t="s">
        <v>0</v>
      </c>
      <c r="F40" s="25">
        <f>B40/B41</f>
        <v>26.856818181818181</v>
      </c>
      <c r="G40" s="26" t="s">
        <v>20</v>
      </c>
      <c r="H40" s="27"/>
      <c r="J40" s="14"/>
      <c r="K40" s="22">
        <f>Q38</f>
        <v>949050</v>
      </c>
      <c r="L40" s="23" t="s">
        <v>7</v>
      </c>
      <c r="M40" s="24"/>
      <c r="N40" s="2" t="s">
        <v>0</v>
      </c>
      <c r="O40" s="25">
        <f>K40/K41</f>
        <v>215.69318181818181</v>
      </c>
      <c r="P40" s="26" t="s">
        <v>20</v>
      </c>
      <c r="Q40" s="27"/>
    </row>
    <row r="41" spans="1:17" x14ac:dyDescent="0.2">
      <c r="A41" s="14"/>
      <c r="B41" s="28">
        <v>4400</v>
      </c>
      <c r="C41" s="3" t="s">
        <v>19</v>
      </c>
      <c r="D41" s="29"/>
      <c r="E41" s="29"/>
      <c r="F41" s="4"/>
      <c r="G41" s="4"/>
      <c r="H41" s="30"/>
      <c r="J41" s="14"/>
      <c r="K41" s="28">
        <v>4400</v>
      </c>
      <c r="L41" s="3" t="s">
        <v>19</v>
      </c>
      <c r="M41" s="29"/>
      <c r="N41" s="29"/>
      <c r="O41" s="4"/>
      <c r="P41" s="4"/>
      <c r="Q41" s="30"/>
    </row>
    <row r="42" spans="1:17" ht="13.5" thickBot="1" x14ac:dyDescent="0.25">
      <c r="A42" s="205"/>
      <c r="B42" s="206"/>
      <c r="C42" s="206"/>
      <c r="D42" s="206"/>
      <c r="E42" s="206"/>
      <c r="F42" s="206"/>
      <c r="G42" s="5"/>
      <c r="H42" s="31"/>
      <c r="J42" s="205"/>
      <c r="K42" s="206"/>
      <c r="L42" s="206"/>
      <c r="M42" s="206"/>
      <c r="N42" s="206"/>
      <c r="O42" s="206"/>
      <c r="P42" s="5"/>
      <c r="Q42" s="31"/>
    </row>
    <row r="43" spans="1:17" ht="13.5" thickBot="1" x14ac:dyDescent="0.25">
      <c r="A43" s="32"/>
      <c r="B43" s="33"/>
      <c r="C43" s="33"/>
      <c r="D43" s="33"/>
      <c r="E43" s="33"/>
      <c r="F43" s="203" t="s">
        <v>34</v>
      </c>
      <c r="G43" s="204"/>
      <c r="H43" s="63">
        <f>F40</f>
        <v>26.856818181818181</v>
      </c>
      <c r="J43" s="32"/>
      <c r="K43" s="33"/>
      <c r="L43" s="33"/>
      <c r="M43" s="33"/>
      <c r="N43" s="33"/>
      <c r="O43" s="203" t="s">
        <v>34</v>
      </c>
      <c r="P43" s="204"/>
      <c r="Q43" s="63">
        <f>O40</f>
        <v>215.69318181818181</v>
      </c>
    </row>
    <row r="44" spans="1:17" x14ac:dyDescent="0.2">
      <c r="A44" s="34" t="s">
        <v>1</v>
      </c>
      <c r="B44" s="35">
        <v>12.2</v>
      </c>
      <c r="C44" s="20" t="s">
        <v>2</v>
      </c>
      <c r="D44" s="20"/>
      <c r="E44" s="20"/>
      <c r="F44" s="20"/>
      <c r="G44" s="20"/>
      <c r="H44" s="36"/>
      <c r="J44" s="34" t="s">
        <v>1</v>
      </c>
      <c r="K44" s="35">
        <v>32</v>
      </c>
      <c r="L44" s="20" t="s">
        <v>2</v>
      </c>
      <c r="M44" s="20"/>
      <c r="N44" s="20"/>
      <c r="O44" s="20"/>
      <c r="P44" s="20"/>
      <c r="Q44" s="36"/>
    </row>
    <row r="45" spans="1:17" x14ac:dyDescent="0.2">
      <c r="A45" s="37"/>
      <c r="B45" s="24"/>
      <c r="C45" s="24"/>
      <c r="D45" s="24"/>
      <c r="E45" s="24"/>
      <c r="F45" s="24"/>
      <c r="G45" s="24"/>
      <c r="H45" s="27"/>
      <c r="J45" s="37"/>
      <c r="K45" s="24"/>
      <c r="L45" s="24"/>
      <c r="M45" s="24"/>
      <c r="N45" s="24"/>
      <c r="O45" s="24"/>
      <c r="P45" s="24"/>
      <c r="Q45" s="27"/>
    </row>
    <row r="46" spans="1:17" ht="13.5" thickBot="1" x14ac:dyDescent="0.25">
      <c r="A46" s="37" t="s">
        <v>3</v>
      </c>
      <c r="B46" s="38">
        <f>F40</f>
        <v>26.856818181818181</v>
      </c>
      <c r="C46" s="26" t="s">
        <v>20</v>
      </c>
      <c r="D46" s="24"/>
      <c r="E46" s="24" t="s">
        <v>4</v>
      </c>
      <c r="F46" s="40">
        <f>B46/B47</f>
        <v>2.2013785394932937</v>
      </c>
      <c r="G46" s="24" t="s">
        <v>8</v>
      </c>
      <c r="H46" s="27"/>
      <c r="J46" s="37" t="s">
        <v>3</v>
      </c>
      <c r="K46" s="38">
        <f>O40</f>
        <v>215.69318181818181</v>
      </c>
      <c r="L46" s="26" t="s">
        <v>20</v>
      </c>
      <c r="M46" s="24"/>
      <c r="N46" s="24" t="s">
        <v>4</v>
      </c>
      <c r="O46" s="40">
        <f>K46/K47</f>
        <v>6.7404119318181817</v>
      </c>
      <c r="P46" s="24" t="s">
        <v>8</v>
      </c>
      <c r="Q46" s="27"/>
    </row>
    <row r="47" spans="1:17" x14ac:dyDescent="0.2">
      <c r="A47" s="37"/>
      <c r="B47" s="40">
        <f>B44</f>
        <v>12.2</v>
      </c>
      <c r="C47" s="24" t="s">
        <v>2</v>
      </c>
      <c r="D47" s="41"/>
      <c r="E47" s="24"/>
      <c r="F47" s="40"/>
      <c r="G47" s="24"/>
      <c r="H47" s="27"/>
      <c r="J47" s="37"/>
      <c r="K47" s="40">
        <f>K44</f>
        <v>32</v>
      </c>
      <c r="L47" s="24" t="s">
        <v>2</v>
      </c>
      <c r="M47" s="41"/>
      <c r="N47" s="24"/>
      <c r="O47" s="40"/>
      <c r="P47" s="24"/>
      <c r="Q47" s="27"/>
    </row>
    <row r="48" spans="1:17" ht="13.5" thickBot="1" x14ac:dyDescent="0.25">
      <c r="A48" s="42"/>
      <c r="B48" s="39"/>
      <c r="C48" s="39"/>
      <c r="D48" s="39"/>
      <c r="E48" s="39"/>
      <c r="F48" s="39"/>
      <c r="G48" s="39"/>
      <c r="H48" s="43"/>
      <c r="J48" s="42"/>
      <c r="K48" s="39"/>
      <c r="L48" s="39"/>
      <c r="M48" s="39"/>
      <c r="N48" s="39"/>
      <c r="O48" s="39"/>
      <c r="P48" s="39"/>
      <c r="Q48" s="43"/>
    </row>
    <row r="49" spans="1:17" ht="13.5" thickBot="1" x14ac:dyDescent="0.25">
      <c r="A49" s="42"/>
      <c r="B49" s="39"/>
      <c r="C49" s="39"/>
      <c r="D49" s="39"/>
      <c r="E49" s="39"/>
      <c r="F49" s="207" t="s">
        <v>21</v>
      </c>
      <c r="G49" s="208"/>
      <c r="H49" s="44">
        <f>F46</f>
        <v>2.2013785394932937</v>
      </c>
      <c r="J49" s="42"/>
      <c r="K49" s="39"/>
      <c r="L49" s="39"/>
      <c r="M49" s="39"/>
      <c r="N49" s="39"/>
      <c r="O49" s="207" t="s">
        <v>21</v>
      </c>
      <c r="P49" s="208"/>
      <c r="Q49" s="44">
        <f>O46</f>
        <v>6.7404119318181817</v>
      </c>
    </row>
    <row r="52" spans="1:17" ht="13.5" thickBot="1" x14ac:dyDescent="0.25"/>
    <row r="53" spans="1:17" ht="12.75" customHeight="1" x14ac:dyDescent="0.2">
      <c r="A53" s="191" t="s">
        <v>35</v>
      </c>
      <c r="B53" s="192"/>
      <c r="C53" s="192"/>
      <c r="D53" s="192"/>
      <c r="E53" s="192"/>
      <c r="F53" s="192"/>
      <c r="G53" s="192"/>
      <c r="H53" s="193"/>
      <c r="J53" s="191" t="s">
        <v>35</v>
      </c>
      <c r="K53" s="192"/>
      <c r="L53" s="192"/>
      <c r="M53" s="192"/>
      <c r="N53" s="192"/>
      <c r="O53" s="192"/>
      <c r="P53" s="192"/>
      <c r="Q53" s="193"/>
    </row>
    <row r="54" spans="1:17" ht="51.75" thickBot="1" x14ac:dyDescent="0.25">
      <c r="A54" s="215" t="s">
        <v>22</v>
      </c>
      <c r="B54" s="216"/>
      <c r="C54" s="216"/>
      <c r="D54" s="216"/>
      <c r="E54" s="58" t="s">
        <v>36</v>
      </c>
      <c r="F54" s="59" t="s">
        <v>37</v>
      </c>
      <c r="G54" s="60" t="s">
        <v>5</v>
      </c>
      <c r="H54" s="61" t="s">
        <v>6</v>
      </c>
      <c r="J54" s="215" t="s">
        <v>22</v>
      </c>
      <c r="K54" s="216"/>
      <c r="L54" s="216"/>
      <c r="M54" s="216"/>
      <c r="N54" s="58" t="s">
        <v>36</v>
      </c>
      <c r="O54" s="59" t="s">
        <v>37</v>
      </c>
      <c r="P54" s="60" t="s">
        <v>5</v>
      </c>
      <c r="Q54" s="61" t="s">
        <v>6</v>
      </c>
    </row>
    <row r="55" spans="1:17" ht="12.75" customHeight="1" x14ac:dyDescent="0.2">
      <c r="A55" s="217" t="s">
        <v>46</v>
      </c>
      <c r="B55" s="218"/>
      <c r="C55" s="218"/>
      <c r="D55" s="218"/>
      <c r="E55" s="54"/>
      <c r="F55" s="8"/>
      <c r="G55" s="8"/>
      <c r="H55" s="9"/>
      <c r="J55" s="217" t="s">
        <v>72</v>
      </c>
      <c r="K55" s="218"/>
      <c r="L55" s="218"/>
      <c r="M55" s="218"/>
      <c r="N55" s="54"/>
      <c r="O55" s="8"/>
      <c r="P55" s="8"/>
      <c r="Q55" s="9"/>
    </row>
    <row r="56" spans="1:17" x14ac:dyDescent="0.2">
      <c r="A56" s="219" t="s">
        <v>24</v>
      </c>
      <c r="B56" s="220"/>
      <c r="C56" s="220"/>
      <c r="D56" s="220"/>
      <c r="E56" s="57">
        <v>3</v>
      </c>
      <c r="F56" s="47">
        <v>4</v>
      </c>
      <c r="G56" s="47">
        <v>4000</v>
      </c>
      <c r="H56" s="45">
        <f t="shared" ref="H56:H63" si="5">F56*G56</f>
        <v>16000</v>
      </c>
      <c r="J56" s="219" t="s">
        <v>24</v>
      </c>
      <c r="K56" s="220"/>
      <c r="L56" s="220"/>
      <c r="M56" s="220"/>
      <c r="N56" s="57">
        <v>3</v>
      </c>
      <c r="O56" s="47">
        <v>4</v>
      </c>
      <c r="P56" s="47">
        <v>4000</v>
      </c>
      <c r="Q56" s="45">
        <f t="shared" ref="Q56:Q63" si="6">O56*P56</f>
        <v>16000</v>
      </c>
    </row>
    <row r="57" spans="1:17" ht="12.75" customHeight="1" x14ac:dyDescent="0.2">
      <c r="A57" s="219" t="s">
        <v>40</v>
      </c>
      <c r="B57" s="221"/>
      <c r="C57" s="221"/>
      <c r="D57" s="221"/>
      <c r="E57" s="57">
        <v>3</v>
      </c>
      <c r="F57" s="47">
        <v>20</v>
      </c>
      <c r="G57" s="47">
        <v>4000</v>
      </c>
      <c r="H57" s="46">
        <f t="shared" si="5"/>
        <v>80000</v>
      </c>
      <c r="J57" s="219" t="s">
        <v>40</v>
      </c>
      <c r="K57" s="221"/>
      <c r="L57" s="221"/>
      <c r="M57" s="221"/>
      <c r="N57" s="57">
        <v>3</v>
      </c>
      <c r="O57" s="47">
        <v>20</v>
      </c>
      <c r="P57" s="47">
        <v>4000</v>
      </c>
      <c r="Q57" s="46">
        <f t="shared" si="6"/>
        <v>80000</v>
      </c>
    </row>
    <row r="58" spans="1:17" ht="12.75" customHeight="1" x14ac:dyDescent="0.2">
      <c r="A58" s="222" t="s">
        <v>26</v>
      </c>
      <c r="B58" s="220"/>
      <c r="C58" s="220"/>
      <c r="D58" s="220"/>
      <c r="E58" s="57">
        <v>3</v>
      </c>
      <c r="F58" s="47">
        <v>2</v>
      </c>
      <c r="G58" s="47">
        <v>6000</v>
      </c>
      <c r="H58" s="46">
        <f t="shared" si="5"/>
        <v>12000</v>
      </c>
      <c r="J58" s="222" t="s">
        <v>26</v>
      </c>
      <c r="K58" s="220"/>
      <c r="L58" s="220"/>
      <c r="M58" s="220"/>
      <c r="N58" s="57">
        <v>3</v>
      </c>
      <c r="O58" s="47">
        <v>2</v>
      </c>
      <c r="P58" s="47">
        <v>6000</v>
      </c>
      <c r="Q58" s="46">
        <f t="shared" si="6"/>
        <v>12000</v>
      </c>
    </row>
    <row r="59" spans="1:17" ht="12.75" customHeight="1" x14ac:dyDescent="0.2">
      <c r="A59" s="209" t="s">
        <v>41</v>
      </c>
      <c r="B59" s="210"/>
      <c r="C59" s="210"/>
      <c r="D59" s="210"/>
      <c r="E59" s="57">
        <v>3</v>
      </c>
      <c r="F59" s="47">
        <v>0.3</v>
      </c>
      <c r="G59" s="47">
        <v>7450</v>
      </c>
      <c r="H59" s="46">
        <f t="shared" si="5"/>
        <v>2235</v>
      </c>
      <c r="J59" s="209" t="s">
        <v>41</v>
      </c>
      <c r="K59" s="210"/>
      <c r="L59" s="210"/>
      <c r="M59" s="210"/>
      <c r="N59" s="57">
        <v>3</v>
      </c>
      <c r="O59" s="47">
        <v>0.3</v>
      </c>
      <c r="P59" s="47">
        <v>7450</v>
      </c>
      <c r="Q59" s="46">
        <f t="shared" si="6"/>
        <v>2235</v>
      </c>
    </row>
    <row r="60" spans="1:17" x14ac:dyDescent="0.2">
      <c r="A60" s="51" t="s">
        <v>9</v>
      </c>
      <c r="B60" s="50"/>
      <c r="C60" s="50"/>
      <c r="D60" s="13"/>
      <c r="E60" s="57">
        <v>3</v>
      </c>
      <c r="F60" s="48">
        <v>0.4</v>
      </c>
      <c r="G60" s="47">
        <v>4000</v>
      </c>
      <c r="H60" s="46">
        <f t="shared" si="5"/>
        <v>1600</v>
      </c>
      <c r="J60" s="51" t="s">
        <v>9</v>
      </c>
      <c r="K60" s="50"/>
      <c r="L60" s="50"/>
      <c r="M60" s="13"/>
      <c r="N60" s="57">
        <v>3</v>
      </c>
      <c r="O60" s="48">
        <v>0.4</v>
      </c>
      <c r="P60" s="47">
        <v>4000</v>
      </c>
      <c r="Q60" s="46">
        <f t="shared" si="6"/>
        <v>1600</v>
      </c>
    </row>
    <row r="61" spans="1:17" x14ac:dyDescent="0.2">
      <c r="A61" s="52" t="s">
        <v>25</v>
      </c>
      <c r="B61" s="53"/>
      <c r="C61" s="53"/>
      <c r="D61" s="11"/>
      <c r="E61" s="57">
        <v>3</v>
      </c>
      <c r="F61" s="48">
        <v>0.5</v>
      </c>
      <c r="G61" s="47">
        <v>5000</v>
      </c>
      <c r="H61" s="45">
        <f t="shared" si="5"/>
        <v>2500</v>
      </c>
      <c r="J61" s="52" t="s">
        <v>25</v>
      </c>
      <c r="K61" s="53"/>
      <c r="L61" s="53"/>
      <c r="M61" s="11"/>
      <c r="N61" s="57">
        <v>3</v>
      </c>
      <c r="O61" s="48">
        <v>0.5</v>
      </c>
      <c r="P61" s="47">
        <v>5000</v>
      </c>
      <c r="Q61" s="45">
        <f t="shared" si="6"/>
        <v>2500</v>
      </c>
    </row>
    <row r="62" spans="1:17" ht="12.75" customHeight="1" x14ac:dyDescent="0.2">
      <c r="A62" s="211" t="s">
        <v>42</v>
      </c>
      <c r="B62" s="212"/>
      <c r="C62" s="212"/>
      <c r="D62" s="212"/>
      <c r="E62" s="57">
        <v>3</v>
      </c>
      <c r="F62" s="48">
        <v>0.3</v>
      </c>
      <c r="G62" s="47">
        <v>7450</v>
      </c>
      <c r="H62" s="45">
        <f t="shared" si="5"/>
        <v>2235</v>
      </c>
      <c r="J62" s="211" t="s">
        <v>42</v>
      </c>
      <c r="K62" s="212"/>
      <c r="L62" s="212"/>
      <c r="M62" s="212"/>
      <c r="N62" s="57">
        <v>3</v>
      </c>
      <c r="O62" s="48">
        <v>0.3</v>
      </c>
      <c r="P62" s="47">
        <v>7450</v>
      </c>
      <c r="Q62" s="45">
        <f t="shared" si="6"/>
        <v>2235</v>
      </c>
    </row>
    <row r="63" spans="1:17" ht="13.5" customHeight="1" thickBot="1" x14ac:dyDescent="0.25">
      <c r="A63" s="213" t="s">
        <v>38</v>
      </c>
      <c r="B63" s="214"/>
      <c r="C63" s="214"/>
      <c r="D63" s="214"/>
      <c r="E63" s="74">
        <v>3</v>
      </c>
      <c r="F63" s="49">
        <v>0.4</v>
      </c>
      <c r="G63" s="47">
        <v>4000</v>
      </c>
      <c r="H63" s="45">
        <f t="shared" si="5"/>
        <v>1600</v>
      </c>
      <c r="J63" s="213" t="s">
        <v>38</v>
      </c>
      <c r="K63" s="214"/>
      <c r="L63" s="214"/>
      <c r="M63" s="214"/>
      <c r="N63" s="57">
        <v>3</v>
      </c>
      <c r="O63" s="49">
        <v>0.4</v>
      </c>
      <c r="P63" s="47">
        <v>4000</v>
      </c>
      <c r="Q63" s="45">
        <f t="shared" si="6"/>
        <v>1600</v>
      </c>
    </row>
    <row r="64" spans="1:17" ht="13.5" customHeight="1" thickBot="1" x14ac:dyDescent="0.25">
      <c r="A64" s="64"/>
      <c r="B64" s="65"/>
      <c r="C64" s="65"/>
      <c r="D64" s="66"/>
      <c r="E64" s="67"/>
      <c r="F64" s="203" t="s">
        <v>33</v>
      </c>
      <c r="G64" s="204"/>
      <c r="H64" s="62">
        <f>SUM(H56:H63)</f>
        <v>118170</v>
      </c>
      <c r="J64" s="64"/>
      <c r="K64" s="65"/>
      <c r="L64" s="65"/>
      <c r="M64" s="66"/>
      <c r="N64" s="67"/>
      <c r="O64" s="203" t="s">
        <v>33</v>
      </c>
      <c r="P64" s="204"/>
      <c r="Q64" s="62">
        <f>SUM(Q56:Q63)</f>
        <v>118170</v>
      </c>
    </row>
    <row r="65" spans="1:17" x14ac:dyDescent="0.2">
      <c r="A65" s="17"/>
      <c r="B65" s="18"/>
      <c r="C65" s="19"/>
      <c r="D65" s="20"/>
      <c r="E65" s="19"/>
      <c r="F65" s="1"/>
      <c r="G65" s="1"/>
      <c r="H65" s="21"/>
      <c r="J65" s="17"/>
      <c r="K65" s="18"/>
      <c r="L65" s="19"/>
      <c r="M65" s="20"/>
      <c r="N65" s="19"/>
      <c r="O65" s="1"/>
      <c r="P65" s="1"/>
      <c r="Q65" s="21"/>
    </row>
    <row r="66" spans="1:17" ht="13.5" thickBot="1" x14ac:dyDescent="0.25">
      <c r="A66" s="14"/>
      <c r="B66" s="22">
        <f>H64</f>
        <v>118170</v>
      </c>
      <c r="C66" s="23" t="s">
        <v>7</v>
      </c>
      <c r="D66" s="24"/>
      <c r="E66" s="2" t="s">
        <v>0</v>
      </c>
      <c r="F66" s="25">
        <f>B66/B67</f>
        <v>26.856818181818181</v>
      </c>
      <c r="G66" s="26" t="s">
        <v>20</v>
      </c>
      <c r="H66" s="27"/>
      <c r="J66" s="14"/>
      <c r="K66" s="22">
        <f>Q64</f>
        <v>118170</v>
      </c>
      <c r="L66" s="23" t="s">
        <v>7</v>
      </c>
      <c r="M66" s="24"/>
      <c r="N66" s="2" t="s">
        <v>0</v>
      </c>
      <c r="O66" s="25">
        <f>K66/K67</f>
        <v>26.856818181818181</v>
      </c>
      <c r="P66" s="26" t="s">
        <v>20</v>
      </c>
      <c r="Q66" s="27"/>
    </row>
    <row r="67" spans="1:17" x14ac:dyDescent="0.2">
      <c r="A67" s="14"/>
      <c r="B67" s="28">
        <v>4400</v>
      </c>
      <c r="C67" s="3" t="s">
        <v>19</v>
      </c>
      <c r="D67" s="29"/>
      <c r="E67" s="29"/>
      <c r="F67" s="4"/>
      <c r="G67" s="4"/>
      <c r="H67" s="30"/>
      <c r="J67" s="14"/>
      <c r="K67" s="28">
        <v>4400</v>
      </c>
      <c r="L67" s="3" t="s">
        <v>19</v>
      </c>
      <c r="M67" s="29"/>
      <c r="N67" s="29"/>
      <c r="O67" s="4"/>
      <c r="P67" s="4"/>
      <c r="Q67" s="30"/>
    </row>
    <row r="68" spans="1:17" ht="13.5" thickBot="1" x14ac:dyDescent="0.25">
      <c r="A68" s="205"/>
      <c r="B68" s="206"/>
      <c r="C68" s="206"/>
      <c r="D68" s="206"/>
      <c r="E68" s="206"/>
      <c r="F68" s="206"/>
      <c r="G68" s="5"/>
      <c r="H68" s="31"/>
      <c r="J68" s="205"/>
      <c r="K68" s="206"/>
      <c r="L68" s="206"/>
      <c r="M68" s="206"/>
      <c r="N68" s="206"/>
      <c r="O68" s="206"/>
      <c r="P68" s="5"/>
      <c r="Q68" s="31"/>
    </row>
    <row r="69" spans="1:17" ht="13.5" customHeight="1" thickBot="1" x14ac:dyDescent="0.25">
      <c r="A69" s="32"/>
      <c r="B69" s="33"/>
      <c r="C69" s="33"/>
      <c r="D69" s="33"/>
      <c r="E69" s="33"/>
      <c r="F69" s="203" t="s">
        <v>34</v>
      </c>
      <c r="G69" s="204"/>
      <c r="H69" s="63">
        <f>F66</f>
        <v>26.856818181818181</v>
      </c>
      <c r="J69" s="32"/>
      <c r="K69" s="33"/>
      <c r="L69" s="33"/>
      <c r="M69" s="33"/>
      <c r="N69" s="33"/>
      <c r="O69" s="203" t="s">
        <v>34</v>
      </c>
      <c r="P69" s="204"/>
      <c r="Q69" s="63">
        <f>O66</f>
        <v>26.856818181818181</v>
      </c>
    </row>
    <row r="70" spans="1:17" x14ac:dyDescent="0.2">
      <c r="A70" s="34" t="s">
        <v>1</v>
      </c>
      <c r="B70" s="35">
        <v>7.5</v>
      </c>
      <c r="C70" s="20" t="s">
        <v>2</v>
      </c>
      <c r="D70" s="20"/>
      <c r="E70" s="20"/>
      <c r="F70" s="20"/>
      <c r="G70" s="20"/>
      <c r="H70" s="36"/>
      <c r="J70" s="34" t="s">
        <v>1</v>
      </c>
      <c r="K70" s="35">
        <v>6.65</v>
      </c>
      <c r="L70" s="20" t="s">
        <v>2</v>
      </c>
      <c r="M70" s="20"/>
      <c r="N70" s="20"/>
      <c r="O70" s="20"/>
      <c r="P70" s="20"/>
      <c r="Q70" s="36"/>
    </row>
    <row r="71" spans="1:17" x14ac:dyDescent="0.2">
      <c r="A71" s="37"/>
      <c r="B71" s="24"/>
      <c r="C71" s="24"/>
      <c r="D71" s="24"/>
      <c r="E71" s="24"/>
      <c r="F71" s="24"/>
      <c r="G71" s="24"/>
      <c r="H71" s="27"/>
      <c r="J71" s="37"/>
      <c r="K71" s="24"/>
      <c r="L71" s="24"/>
      <c r="M71" s="24"/>
      <c r="N71" s="24"/>
      <c r="O71" s="24"/>
      <c r="P71" s="24"/>
      <c r="Q71" s="27"/>
    </row>
    <row r="72" spans="1:17" ht="13.5" thickBot="1" x14ac:dyDescent="0.25">
      <c r="A72" s="37" t="s">
        <v>3</v>
      </c>
      <c r="B72" s="38">
        <f>F66</f>
        <v>26.856818181818181</v>
      </c>
      <c r="C72" s="26" t="s">
        <v>20</v>
      </c>
      <c r="D72" s="24"/>
      <c r="E72" s="24" t="s">
        <v>4</v>
      </c>
      <c r="F72" s="40">
        <f>B72/B73</f>
        <v>3.5809090909090906</v>
      </c>
      <c r="G72" s="24" t="s">
        <v>8</v>
      </c>
      <c r="H72" s="27"/>
      <c r="J72" s="37" t="s">
        <v>3</v>
      </c>
      <c r="K72" s="38">
        <f>O66</f>
        <v>26.856818181818181</v>
      </c>
      <c r="L72" s="26" t="s">
        <v>20</v>
      </c>
      <c r="M72" s="24"/>
      <c r="N72" s="24" t="s">
        <v>4</v>
      </c>
      <c r="O72" s="40">
        <f>K72/K73</f>
        <v>4.0386192754613806</v>
      </c>
      <c r="P72" s="24" t="s">
        <v>8</v>
      </c>
      <c r="Q72" s="27"/>
    </row>
    <row r="73" spans="1:17" x14ac:dyDescent="0.2">
      <c r="A73" s="37"/>
      <c r="B73" s="40">
        <f>B70</f>
        <v>7.5</v>
      </c>
      <c r="C73" s="24" t="s">
        <v>2</v>
      </c>
      <c r="D73" s="41"/>
      <c r="E73" s="24"/>
      <c r="F73" s="40"/>
      <c r="G73" s="24"/>
      <c r="H73" s="27"/>
      <c r="J73" s="37"/>
      <c r="K73" s="40">
        <f>K70</f>
        <v>6.65</v>
      </c>
      <c r="L73" s="24" t="s">
        <v>2</v>
      </c>
      <c r="M73" s="41"/>
      <c r="N73" s="24"/>
      <c r="O73" s="40"/>
      <c r="P73" s="24"/>
      <c r="Q73" s="27"/>
    </row>
    <row r="74" spans="1:17" ht="13.5" thickBot="1" x14ac:dyDescent="0.25">
      <c r="A74" s="42"/>
      <c r="B74" s="39"/>
      <c r="C74" s="39"/>
      <c r="D74" s="39"/>
      <c r="E74" s="39"/>
      <c r="F74" s="39"/>
      <c r="G74" s="39"/>
      <c r="H74" s="43"/>
      <c r="J74" s="42"/>
      <c r="K74" s="39"/>
      <c r="L74" s="39"/>
      <c r="M74" s="39"/>
      <c r="N74" s="39"/>
      <c r="O74" s="39"/>
      <c r="P74" s="39"/>
      <c r="Q74" s="43"/>
    </row>
    <row r="75" spans="1:17" ht="13.5" customHeight="1" thickBot="1" x14ac:dyDescent="0.25">
      <c r="A75" s="42"/>
      <c r="B75" s="39"/>
      <c r="C75" s="39"/>
      <c r="D75" s="39"/>
      <c r="E75" s="39"/>
      <c r="F75" s="207" t="s">
        <v>21</v>
      </c>
      <c r="G75" s="208"/>
      <c r="H75" s="44">
        <f>F72</f>
        <v>3.5809090909090906</v>
      </c>
      <c r="J75" s="42"/>
      <c r="K75" s="39"/>
      <c r="L75" s="39"/>
      <c r="M75" s="39"/>
      <c r="N75" s="39"/>
      <c r="O75" s="207" t="s">
        <v>21</v>
      </c>
      <c r="P75" s="208"/>
      <c r="Q75" s="44">
        <f>O72</f>
        <v>4.0386192754613806</v>
      </c>
    </row>
    <row r="76" spans="1:17" x14ac:dyDescent="0.2">
      <c r="A76" s="24"/>
      <c r="B76" s="24"/>
      <c r="C76" s="24"/>
      <c r="D76" s="24"/>
      <c r="E76" s="24"/>
      <c r="F76" s="69"/>
      <c r="G76" s="69"/>
      <c r="H76" s="68"/>
      <c r="J76" s="24"/>
      <c r="K76" s="24"/>
      <c r="L76" s="24"/>
      <c r="M76" s="24"/>
      <c r="N76" s="24"/>
      <c r="O76" s="69"/>
      <c r="P76" s="69"/>
      <c r="Q76" s="68"/>
    </row>
    <row r="77" spans="1:17" ht="13.5" thickBot="1" x14ac:dyDescent="0.25"/>
    <row r="78" spans="1:17" ht="12.75" customHeight="1" x14ac:dyDescent="0.2">
      <c r="A78" s="191" t="s">
        <v>35</v>
      </c>
      <c r="B78" s="192"/>
      <c r="C78" s="192"/>
      <c r="D78" s="192"/>
      <c r="E78" s="192"/>
      <c r="F78" s="192"/>
      <c r="G78" s="192"/>
      <c r="H78" s="193"/>
      <c r="J78" s="191" t="s">
        <v>35</v>
      </c>
      <c r="K78" s="192"/>
      <c r="L78" s="192"/>
      <c r="M78" s="192"/>
      <c r="N78" s="192"/>
      <c r="O78" s="192"/>
      <c r="P78" s="192"/>
      <c r="Q78" s="193"/>
    </row>
    <row r="79" spans="1:17" ht="51.75" thickBot="1" x14ac:dyDescent="0.25">
      <c r="A79" s="215" t="s">
        <v>22</v>
      </c>
      <c r="B79" s="216"/>
      <c r="C79" s="216"/>
      <c r="D79" s="216"/>
      <c r="E79" s="58" t="s">
        <v>36</v>
      </c>
      <c r="F79" s="59" t="s">
        <v>37</v>
      </c>
      <c r="G79" s="60" t="s">
        <v>5</v>
      </c>
      <c r="H79" s="61" t="s">
        <v>6</v>
      </c>
      <c r="J79" s="215" t="s">
        <v>22</v>
      </c>
      <c r="K79" s="216"/>
      <c r="L79" s="216"/>
      <c r="M79" s="216"/>
      <c r="N79" s="58" t="s">
        <v>36</v>
      </c>
      <c r="O79" s="59" t="s">
        <v>37</v>
      </c>
      <c r="P79" s="60" t="s">
        <v>5</v>
      </c>
      <c r="Q79" s="61" t="s">
        <v>6</v>
      </c>
    </row>
    <row r="80" spans="1:17" ht="12.75" customHeight="1" x14ac:dyDescent="0.2">
      <c r="A80" s="217" t="s">
        <v>47</v>
      </c>
      <c r="B80" s="218"/>
      <c r="C80" s="218"/>
      <c r="D80" s="218"/>
      <c r="E80" s="54"/>
      <c r="F80" s="8"/>
      <c r="G80" s="8"/>
      <c r="H80" s="9"/>
      <c r="J80" s="217" t="s">
        <v>50</v>
      </c>
      <c r="K80" s="218"/>
      <c r="L80" s="218"/>
      <c r="M80" s="218"/>
      <c r="N80" s="54"/>
      <c r="O80" s="8"/>
      <c r="P80" s="8"/>
      <c r="Q80" s="9"/>
    </row>
    <row r="81" spans="1:17" ht="12.75" customHeight="1" x14ac:dyDescent="0.2">
      <c r="A81" s="219" t="s">
        <v>24</v>
      </c>
      <c r="B81" s="220"/>
      <c r="C81" s="220"/>
      <c r="D81" s="220"/>
      <c r="E81" s="57">
        <v>3</v>
      </c>
      <c r="F81" s="47">
        <v>4</v>
      </c>
      <c r="G81" s="47">
        <v>4000</v>
      </c>
      <c r="H81" s="45">
        <f t="shared" ref="H81:H88" si="7">F81*G81</f>
        <v>16000</v>
      </c>
      <c r="J81" s="194" t="s">
        <v>48</v>
      </c>
      <c r="K81" s="195"/>
      <c r="L81" s="195"/>
      <c r="M81" s="196"/>
      <c r="N81" s="57">
        <v>3</v>
      </c>
      <c r="O81" s="47">
        <v>10</v>
      </c>
      <c r="P81" s="47">
        <v>11145</v>
      </c>
      <c r="Q81" s="45">
        <f t="shared" ref="Q81:Q88" si="8">O81*P81</f>
        <v>111450</v>
      </c>
    </row>
    <row r="82" spans="1:17" ht="12.75" customHeight="1" x14ac:dyDescent="0.2">
      <c r="A82" s="219" t="s">
        <v>40</v>
      </c>
      <c r="B82" s="221"/>
      <c r="C82" s="221"/>
      <c r="D82" s="221"/>
      <c r="E82" s="57">
        <v>3</v>
      </c>
      <c r="F82" s="47">
        <v>20</v>
      </c>
      <c r="G82" s="47">
        <v>4000</v>
      </c>
      <c r="H82" s="46">
        <f t="shared" si="7"/>
        <v>80000</v>
      </c>
      <c r="J82" s="194" t="s">
        <v>49</v>
      </c>
      <c r="K82" s="195"/>
      <c r="L82" s="195"/>
      <c r="M82" s="196"/>
      <c r="N82" s="57">
        <v>3</v>
      </c>
      <c r="O82" s="47">
        <v>1</v>
      </c>
      <c r="P82" s="47">
        <v>5</v>
      </c>
      <c r="Q82" s="46">
        <f t="shared" si="8"/>
        <v>5</v>
      </c>
    </row>
    <row r="83" spans="1:17" ht="12.75" customHeight="1" x14ac:dyDescent="0.2">
      <c r="A83" s="222" t="s">
        <v>26</v>
      </c>
      <c r="B83" s="220"/>
      <c r="C83" s="220"/>
      <c r="D83" s="220"/>
      <c r="E83" s="57">
        <v>3</v>
      </c>
      <c r="F83" s="47">
        <v>2</v>
      </c>
      <c r="G83" s="47">
        <v>6000</v>
      </c>
      <c r="H83" s="46">
        <f t="shared" si="7"/>
        <v>12000</v>
      </c>
      <c r="J83" s="197"/>
      <c r="K83" s="198"/>
      <c r="L83" s="198"/>
      <c r="M83" s="199"/>
      <c r="N83" s="10"/>
      <c r="O83" s="47"/>
      <c r="P83" s="47"/>
      <c r="Q83" s="46">
        <f t="shared" si="8"/>
        <v>0</v>
      </c>
    </row>
    <row r="84" spans="1:17" ht="12.75" customHeight="1" x14ac:dyDescent="0.2">
      <c r="A84" s="209" t="s">
        <v>41</v>
      </c>
      <c r="B84" s="210"/>
      <c r="C84" s="210"/>
      <c r="D84" s="210"/>
      <c r="E84" s="57">
        <v>3</v>
      </c>
      <c r="F84" s="47">
        <v>0.3</v>
      </c>
      <c r="G84" s="47">
        <v>7450</v>
      </c>
      <c r="H84" s="46">
        <f t="shared" si="7"/>
        <v>2235</v>
      </c>
      <c r="J84" s="197"/>
      <c r="K84" s="198"/>
      <c r="L84" s="198"/>
      <c r="M84" s="199"/>
      <c r="N84" s="10"/>
      <c r="O84" s="47"/>
      <c r="P84" s="47"/>
      <c r="Q84" s="46">
        <f t="shared" si="8"/>
        <v>0</v>
      </c>
    </row>
    <row r="85" spans="1:17" ht="12.75" customHeight="1" x14ac:dyDescent="0.2">
      <c r="A85" s="51" t="s">
        <v>9</v>
      </c>
      <c r="B85" s="50"/>
      <c r="C85" s="50"/>
      <c r="D85" s="13"/>
      <c r="E85" s="57">
        <v>3</v>
      </c>
      <c r="F85" s="48">
        <v>0.4</v>
      </c>
      <c r="G85" s="47">
        <v>4000</v>
      </c>
      <c r="H85" s="46">
        <f t="shared" si="7"/>
        <v>1600</v>
      </c>
      <c r="J85" s="51"/>
      <c r="K85" s="50"/>
      <c r="L85" s="50"/>
      <c r="M85" s="13"/>
      <c r="N85" s="12"/>
      <c r="O85" s="48"/>
      <c r="P85" s="47"/>
      <c r="Q85" s="46">
        <f t="shared" si="8"/>
        <v>0</v>
      </c>
    </row>
    <row r="86" spans="1:17" x14ac:dyDescent="0.2">
      <c r="A86" s="52" t="s">
        <v>25</v>
      </c>
      <c r="B86" s="53"/>
      <c r="C86" s="53"/>
      <c r="D86" s="11"/>
      <c r="E86" s="57">
        <v>3</v>
      </c>
      <c r="F86" s="48">
        <v>0.5</v>
      </c>
      <c r="G86" s="47">
        <v>5000</v>
      </c>
      <c r="H86" s="45">
        <f t="shared" si="7"/>
        <v>2500</v>
      </c>
      <c r="J86" s="52"/>
      <c r="K86" s="53"/>
      <c r="L86" s="53"/>
      <c r="M86" s="11"/>
      <c r="N86" s="12"/>
      <c r="O86" s="48"/>
      <c r="P86" s="47"/>
      <c r="Q86" s="45">
        <f t="shared" si="8"/>
        <v>0</v>
      </c>
    </row>
    <row r="87" spans="1:17" ht="12.75" customHeight="1" x14ac:dyDescent="0.2">
      <c r="A87" s="211" t="s">
        <v>42</v>
      </c>
      <c r="B87" s="212"/>
      <c r="C87" s="212"/>
      <c r="D87" s="212"/>
      <c r="E87" s="57">
        <v>3</v>
      </c>
      <c r="F87" s="48">
        <v>0.3</v>
      </c>
      <c r="G87" s="47">
        <v>7450</v>
      </c>
      <c r="H87" s="45">
        <f t="shared" si="7"/>
        <v>2235</v>
      </c>
      <c r="J87" s="197"/>
      <c r="K87" s="198"/>
      <c r="L87" s="198"/>
      <c r="M87" s="199"/>
      <c r="N87" s="12"/>
      <c r="O87" s="48"/>
      <c r="P87" s="47"/>
      <c r="Q87" s="45">
        <f t="shared" si="8"/>
        <v>0</v>
      </c>
    </row>
    <row r="88" spans="1:17" ht="13.5" customHeight="1" thickBot="1" x14ac:dyDescent="0.25">
      <c r="A88" s="213" t="s">
        <v>38</v>
      </c>
      <c r="B88" s="214"/>
      <c r="C88" s="214"/>
      <c r="D88" s="214"/>
      <c r="E88" s="75">
        <v>3</v>
      </c>
      <c r="F88" s="49">
        <v>0.4</v>
      </c>
      <c r="G88" s="47">
        <v>4000</v>
      </c>
      <c r="H88" s="45">
        <f t="shared" si="7"/>
        <v>1600</v>
      </c>
      <c r="J88" s="200"/>
      <c r="K88" s="201"/>
      <c r="L88" s="201"/>
      <c r="M88" s="202"/>
      <c r="N88" s="12"/>
      <c r="O88" s="49"/>
      <c r="P88" s="47"/>
      <c r="Q88" s="45">
        <f t="shared" si="8"/>
        <v>0</v>
      </c>
    </row>
    <row r="89" spans="1:17" ht="13.5" customHeight="1" thickBot="1" x14ac:dyDescent="0.25">
      <c r="A89" s="64"/>
      <c r="B89" s="65"/>
      <c r="C89" s="65"/>
      <c r="D89" s="66"/>
      <c r="E89" s="67"/>
      <c r="F89" s="203" t="s">
        <v>33</v>
      </c>
      <c r="G89" s="204"/>
      <c r="H89" s="62">
        <f>SUM(H81:H88)</f>
        <v>118170</v>
      </c>
      <c r="J89" s="64"/>
      <c r="K89" s="65"/>
      <c r="L89" s="65"/>
      <c r="M89" s="66"/>
      <c r="N89" s="67"/>
      <c r="O89" s="203" t="s">
        <v>33</v>
      </c>
      <c r="P89" s="204"/>
      <c r="Q89" s="62">
        <f>SUM(Q81:Q88)</f>
        <v>111455</v>
      </c>
    </row>
    <row r="90" spans="1:17" x14ac:dyDescent="0.2">
      <c r="A90" s="17"/>
      <c r="B90" s="18"/>
      <c r="C90" s="19"/>
      <c r="D90" s="20"/>
      <c r="E90" s="19"/>
      <c r="F90" s="1"/>
      <c r="G90" s="1"/>
      <c r="H90" s="21"/>
      <c r="J90" s="17"/>
      <c r="K90" s="18"/>
      <c r="L90" s="19"/>
      <c r="M90" s="20"/>
      <c r="N90" s="19"/>
      <c r="O90" s="1"/>
      <c r="P90" s="1"/>
      <c r="Q90" s="21"/>
    </row>
    <row r="91" spans="1:17" ht="13.5" thickBot="1" x14ac:dyDescent="0.25">
      <c r="A91" s="14"/>
      <c r="B91" s="22">
        <f>H89</f>
        <v>118170</v>
      </c>
      <c r="C91" s="23" t="s">
        <v>7</v>
      </c>
      <c r="D91" s="24"/>
      <c r="E91" s="2" t="s">
        <v>0</v>
      </c>
      <c r="F91" s="25">
        <f>B91/B92</f>
        <v>26.856818181818181</v>
      </c>
      <c r="G91" s="26" t="s">
        <v>20</v>
      </c>
      <c r="H91" s="27"/>
      <c r="J91" s="14"/>
      <c r="K91" s="22">
        <f>Q89</f>
        <v>111455</v>
      </c>
      <c r="L91" s="23" t="s">
        <v>7</v>
      </c>
      <c r="M91" s="24"/>
      <c r="N91" s="2" t="s">
        <v>0</v>
      </c>
      <c r="O91" s="25">
        <f>K91/K92</f>
        <v>25.330681818181819</v>
      </c>
      <c r="P91" s="26" t="s">
        <v>20</v>
      </c>
      <c r="Q91" s="27"/>
    </row>
    <row r="92" spans="1:17" x14ac:dyDescent="0.2">
      <c r="A92" s="14"/>
      <c r="B92" s="28">
        <v>4400</v>
      </c>
      <c r="C92" s="3" t="s">
        <v>19</v>
      </c>
      <c r="D92" s="29"/>
      <c r="E92" s="29"/>
      <c r="F92" s="4"/>
      <c r="G92" s="4"/>
      <c r="H92" s="30"/>
      <c r="J92" s="14"/>
      <c r="K92" s="28">
        <v>4400</v>
      </c>
      <c r="L92" s="3" t="s">
        <v>19</v>
      </c>
      <c r="M92" s="29"/>
      <c r="N92" s="29"/>
      <c r="O92" s="4"/>
      <c r="P92" s="4"/>
      <c r="Q92" s="30"/>
    </row>
    <row r="93" spans="1:17" ht="13.5" thickBot="1" x14ac:dyDescent="0.25">
      <c r="A93" s="205"/>
      <c r="B93" s="206"/>
      <c r="C93" s="206"/>
      <c r="D93" s="206"/>
      <c r="E93" s="206"/>
      <c r="F93" s="206"/>
      <c r="G93" s="5"/>
      <c r="H93" s="31"/>
      <c r="J93" s="205"/>
      <c r="K93" s="206"/>
      <c r="L93" s="206"/>
      <c r="M93" s="206"/>
      <c r="N93" s="206"/>
      <c r="O93" s="206"/>
      <c r="P93" s="5"/>
      <c r="Q93" s="31"/>
    </row>
    <row r="94" spans="1:17" ht="13.5" customHeight="1" thickBot="1" x14ac:dyDescent="0.25">
      <c r="A94" s="32"/>
      <c r="B94" s="33"/>
      <c r="C94" s="33"/>
      <c r="D94" s="33"/>
      <c r="E94" s="33"/>
      <c r="F94" s="203" t="s">
        <v>34</v>
      </c>
      <c r="G94" s="204"/>
      <c r="H94" s="63">
        <f>F91</f>
        <v>26.856818181818181</v>
      </c>
      <c r="J94" s="32"/>
      <c r="K94" s="33"/>
      <c r="L94" s="33"/>
      <c r="M94" s="33"/>
      <c r="N94" s="33"/>
      <c r="O94" s="203" t="s">
        <v>34</v>
      </c>
      <c r="P94" s="204"/>
      <c r="Q94" s="63">
        <f>O91</f>
        <v>25.330681818181819</v>
      </c>
    </row>
    <row r="95" spans="1:17" x14ac:dyDescent="0.2">
      <c r="A95" s="34" t="s">
        <v>1</v>
      </c>
      <c r="B95" s="35">
        <v>7.5</v>
      </c>
      <c r="C95" s="20" t="s">
        <v>2</v>
      </c>
      <c r="D95" s="20"/>
      <c r="E95" s="20"/>
      <c r="F95" s="20"/>
      <c r="G95" s="20"/>
      <c r="H95" s="36"/>
      <c r="J95" s="34" t="s">
        <v>1</v>
      </c>
      <c r="K95" s="35">
        <v>5.75</v>
      </c>
      <c r="L95" s="20" t="s">
        <v>2</v>
      </c>
      <c r="M95" s="20"/>
      <c r="N95" s="20"/>
      <c r="O95" s="20"/>
      <c r="P95" s="20"/>
      <c r="Q95" s="36"/>
    </row>
    <row r="96" spans="1:17" x14ac:dyDescent="0.2">
      <c r="A96" s="37"/>
      <c r="B96" s="24"/>
      <c r="C96" s="24"/>
      <c r="D96" s="24"/>
      <c r="E96" s="24"/>
      <c r="F96" s="24"/>
      <c r="G96" s="24"/>
      <c r="H96" s="27"/>
      <c r="J96" s="37"/>
      <c r="K96" s="24"/>
      <c r="L96" s="24"/>
      <c r="M96" s="24"/>
      <c r="N96" s="24"/>
      <c r="O96" s="24"/>
      <c r="P96" s="24"/>
      <c r="Q96" s="27"/>
    </row>
    <row r="97" spans="1:17" ht="13.5" thickBot="1" x14ac:dyDescent="0.25">
      <c r="A97" s="37" t="s">
        <v>3</v>
      </c>
      <c r="B97" s="38">
        <f>F91</f>
        <v>26.856818181818181</v>
      </c>
      <c r="C97" s="26" t="s">
        <v>20</v>
      </c>
      <c r="D97" s="24"/>
      <c r="E97" s="24" t="s">
        <v>4</v>
      </c>
      <c r="F97" s="40">
        <f>B97/B98</f>
        <v>3.5809090909090906</v>
      </c>
      <c r="G97" s="24" t="s">
        <v>8</v>
      </c>
      <c r="H97" s="27"/>
      <c r="J97" s="37" t="s">
        <v>3</v>
      </c>
      <c r="K97" s="38">
        <f>O91</f>
        <v>25.330681818181819</v>
      </c>
      <c r="L97" s="26" t="s">
        <v>20</v>
      </c>
      <c r="M97" s="24"/>
      <c r="N97" s="24" t="s">
        <v>4</v>
      </c>
      <c r="O97" s="40">
        <f>K97/K98</f>
        <v>4.4053359683794469</v>
      </c>
      <c r="P97" s="24" t="s">
        <v>8</v>
      </c>
      <c r="Q97" s="27"/>
    </row>
    <row r="98" spans="1:17" x14ac:dyDescent="0.2">
      <c r="A98" s="37"/>
      <c r="B98" s="40">
        <f>B95</f>
        <v>7.5</v>
      </c>
      <c r="C98" s="24" t="s">
        <v>2</v>
      </c>
      <c r="D98" s="41"/>
      <c r="E98" s="24"/>
      <c r="F98" s="40"/>
      <c r="G98" s="24"/>
      <c r="H98" s="27"/>
      <c r="J98" s="37"/>
      <c r="K98" s="40">
        <f>K95</f>
        <v>5.75</v>
      </c>
      <c r="L98" s="24" t="s">
        <v>2</v>
      </c>
      <c r="M98" s="41"/>
      <c r="N98" s="24"/>
      <c r="O98" s="40"/>
      <c r="P98" s="24"/>
      <c r="Q98" s="27"/>
    </row>
    <row r="99" spans="1:17" ht="13.5" thickBot="1" x14ac:dyDescent="0.25">
      <c r="A99" s="42"/>
      <c r="B99" s="39"/>
      <c r="C99" s="39"/>
      <c r="D99" s="39"/>
      <c r="E99" s="39"/>
      <c r="F99" s="39"/>
      <c r="G99" s="39"/>
      <c r="H99" s="43"/>
      <c r="J99" s="42"/>
      <c r="K99" s="39"/>
      <c r="L99" s="39"/>
      <c r="M99" s="39"/>
      <c r="N99" s="39"/>
      <c r="O99" s="39"/>
      <c r="P99" s="39"/>
      <c r="Q99" s="43"/>
    </row>
    <row r="100" spans="1:17" ht="13.5" customHeight="1" thickBot="1" x14ac:dyDescent="0.25">
      <c r="A100" s="42"/>
      <c r="B100" s="39"/>
      <c r="C100" s="39"/>
      <c r="D100" s="39"/>
      <c r="E100" s="39"/>
      <c r="F100" s="207" t="s">
        <v>21</v>
      </c>
      <c r="G100" s="208"/>
      <c r="H100" s="44">
        <f>F97</f>
        <v>3.5809090909090906</v>
      </c>
      <c r="J100" s="42"/>
      <c r="K100" s="39"/>
      <c r="L100" s="39"/>
      <c r="M100" s="39"/>
      <c r="N100" s="39"/>
      <c r="O100" s="207" t="s">
        <v>21</v>
      </c>
      <c r="P100" s="208"/>
      <c r="Q100" s="44">
        <f>O97</f>
        <v>4.4053359683794469</v>
      </c>
    </row>
    <row r="101" spans="1:17" x14ac:dyDescent="0.2">
      <c r="A101" s="24"/>
      <c r="B101" s="24"/>
      <c r="C101" s="24"/>
      <c r="D101" s="24"/>
      <c r="E101" s="24"/>
      <c r="F101" s="69"/>
      <c r="G101" s="69"/>
      <c r="H101" s="68"/>
      <c r="J101" s="24"/>
      <c r="K101" s="24"/>
      <c r="L101" s="24"/>
      <c r="M101" s="24"/>
      <c r="N101" s="24"/>
      <c r="O101" s="69"/>
      <c r="P101" s="69"/>
      <c r="Q101" s="68"/>
    </row>
    <row r="102" spans="1:17" x14ac:dyDescent="0.2">
      <c r="A102" s="24"/>
      <c r="B102" s="24"/>
      <c r="C102" s="24"/>
      <c r="D102" s="24"/>
      <c r="E102" s="24"/>
      <c r="F102" s="69"/>
      <c r="G102" s="69"/>
      <c r="H102" s="68"/>
      <c r="J102" s="24"/>
      <c r="K102" s="24"/>
      <c r="L102" s="24"/>
      <c r="M102" s="24"/>
      <c r="N102" s="24"/>
      <c r="O102" s="69"/>
      <c r="P102" s="69"/>
      <c r="Q102" s="68"/>
    </row>
    <row r="103" spans="1:17" x14ac:dyDescent="0.2">
      <c r="A103" s="24"/>
      <c r="B103" s="24"/>
      <c r="C103" s="24"/>
      <c r="D103" s="24"/>
      <c r="E103" s="24"/>
      <c r="F103" s="69"/>
      <c r="G103" s="69"/>
      <c r="H103" s="68"/>
      <c r="J103" s="24"/>
      <c r="K103" s="24"/>
      <c r="L103" s="24"/>
      <c r="M103" s="24"/>
      <c r="N103" s="24"/>
      <c r="O103" s="69"/>
      <c r="P103" s="69"/>
      <c r="Q103" s="68"/>
    </row>
    <row r="104" spans="1:17" ht="13.5" thickBot="1" x14ac:dyDescent="0.25"/>
    <row r="105" spans="1:17" ht="12.75" customHeight="1" x14ac:dyDescent="0.2">
      <c r="A105" s="191" t="s">
        <v>35</v>
      </c>
      <c r="B105" s="192"/>
      <c r="C105" s="192"/>
      <c r="D105" s="192"/>
      <c r="E105" s="192"/>
      <c r="F105" s="192"/>
      <c r="G105" s="192"/>
      <c r="H105" s="193"/>
    </row>
    <row r="106" spans="1:17" ht="51.75" thickBot="1" x14ac:dyDescent="0.25">
      <c r="A106" s="215" t="s">
        <v>22</v>
      </c>
      <c r="B106" s="216"/>
      <c r="C106" s="216"/>
      <c r="D106" s="216"/>
      <c r="E106" s="58" t="s">
        <v>36</v>
      </c>
      <c r="F106" s="59" t="s">
        <v>37</v>
      </c>
      <c r="G106" s="60" t="s">
        <v>5</v>
      </c>
      <c r="H106" s="61" t="s">
        <v>6</v>
      </c>
    </row>
    <row r="107" spans="1:17" ht="12.75" customHeight="1" x14ac:dyDescent="0.2">
      <c r="A107" s="217" t="s">
        <v>54</v>
      </c>
      <c r="B107" s="218"/>
      <c r="C107" s="218"/>
      <c r="D107" s="218"/>
      <c r="E107" s="7"/>
      <c r="F107" s="8"/>
      <c r="G107" s="8"/>
      <c r="H107" s="9"/>
    </row>
    <row r="108" spans="1:17" ht="12.75" customHeight="1" x14ac:dyDescent="0.2">
      <c r="A108" s="219" t="s">
        <v>9</v>
      </c>
      <c r="B108" s="220"/>
      <c r="C108" s="220"/>
      <c r="D108" s="220"/>
      <c r="E108" s="57">
        <v>3</v>
      </c>
      <c r="F108" s="47">
        <v>20</v>
      </c>
      <c r="G108" s="47">
        <v>4000</v>
      </c>
      <c r="H108" s="45">
        <f t="shared" ref="H108:H115" si="9">F108*G108</f>
        <v>80000</v>
      </c>
    </row>
    <row r="109" spans="1:17" ht="12.75" customHeight="1" x14ac:dyDescent="0.2">
      <c r="A109" s="219" t="s">
        <v>51</v>
      </c>
      <c r="B109" s="221"/>
      <c r="C109" s="221"/>
      <c r="D109" s="221"/>
      <c r="E109" s="57">
        <v>3</v>
      </c>
      <c r="F109" s="47">
        <v>15</v>
      </c>
      <c r="G109" s="47">
        <v>4000</v>
      </c>
      <c r="H109" s="46">
        <f t="shared" si="9"/>
        <v>60000</v>
      </c>
    </row>
    <row r="110" spans="1:17" ht="12.75" customHeight="1" x14ac:dyDescent="0.2">
      <c r="A110" s="222" t="s">
        <v>10</v>
      </c>
      <c r="B110" s="220"/>
      <c r="C110" s="220"/>
      <c r="D110" s="220"/>
      <c r="E110" s="57">
        <v>3</v>
      </c>
      <c r="F110" s="47">
        <v>5</v>
      </c>
      <c r="G110" s="47">
        <v>5000</v>
      </c>
      <c r="H110" s="46">
        <f t="shared" si="9"/>
        <v>25000</v>
      </c>
    </row>
    <row r="111" spans="1:17" ht="12.75" customHeight="1" x14ac:dyDescent="0.2">
      <c r="A111" s="209" t="s">
        <v>52</v>
      </c>
      <c r="B111" s="210"/>
      <c r="C111" s="210"/>
      <c r="D111" s="210"/>
      <c r="E111" s="57">
        <v>3</v>
      </c>
      <c r="F111" s="47">
        <v>23</v>
      </c>
      <c r="G111" s="47">
        <v>4000</v>
      </c>
      <c r="H111" s="46">
        <f t="shared" si="9"/>
        <v>92000</v>
      </c>
    </row>
    <row r="112" spans="1:17" ht="13.5" customHeight="1" x14ac:dyDescent="0.2">
      <c r="A112" s="209" t="s">
        <v>53</v>
      </c>
      <c r="B112" s="210"/>
      <c r="C112" s="210"/>
      <c r="D112" s="210"/>
      <c r="E112" s="57">
        <v>3</v>
      </c>
      <c r="F112" s="47">
        <v>2</v>
      </c>
      <c r="G112" s="47">
        <v>7450</v>
      </c>
      <c r="H112" s="46">
        <f t="shared" si="9"/>
        <v>14900</v>
      </c>
    </row>
    <row r="113" spans="1:8" ht="15" customHeight="1" x14ac:dyDescent="0.2">
      <c r="A113" s="52"/>
      <c r="B113" s="53"/>
      <c r="C113" s="53"/>
      <c r="D113" s="11"/>
      <c r="E113" s="12"/>
      <c r="F113" s="48"/>
      <c r="G113" s="47"/>
      <c r="H113" s="45">
        <f t="shared" si="9"/>
        <v>0</v>
      </c>
    </row>
    <row r="114" spans="1:8" ht="12.75" customHeight="1" x14ac:dyDescent="0.2">
      <c r="A114" s="211"/>
      <c r="B114" s="212"/>
      <c r="C114" s="212"/>
      <c r="D114" s="212"/>
      <c r="E114" s="12"/>
      <c r="F114" s="48"/>
      <c r="G114" s="47"/>
      <c r="H114" s="45">
        <f t="shared" si="9"/>
        <v>0</v>
      </c>
    </row>
    <row r="115" spans="1:8" ht="13.5" customHeight="1" thickBot="1" x14ac:dyDescent="0.25">
      <c r="A115" s="213"/>
      <c r="B115" s="214"/>
      <c r="C115" s="214"/>
      <c r="D115" s="214"/>
      <c r="E115" s="12"/>
      <c r="F115" s="49"/>
      <c r="G115" s="47"/>
      <c r="H115" s="45">
        <f t="shared" si="9"/>
        <v>0</v>
      </c>
    </row>
    <row r="116" spans="1:8" ht="13.5" customHeight="1" thickBot="1" x14ac:dyDescent="0.25">
      <c r="A116" s="64"/>
      <c r="B116" s="65"/>
      <c r="C116" s="65"/>
      <c r="D116" s="66"/>
      <c r="E116" s="67"/>
      <c r="F116" s="203" t="s">
        <v>33</v>
      </c>
      <c r="G116" s="204"/>
      <c r="H116" s="62">
        <f>SUM(H108:H115)</f>
        <v>271900</v>
      </c>
    </row>
    <row r="117" spans="1:8" ht="15" customHeight="1" x14ac:dyDescent="0.2">
      <c r="A117" s="17"/>
      <c r="B117" s="18"/>
      <c r="C117" s="19"/>
      <c r="D117" s="20"/>
      <c r="E117" s="19"/>
      <c r="F117" s="1"/>
      <c r="G117" s="1"/>
      <c r="H117" s="21"/>
    </row>
    <row r="118" spans="1:8" ht="15.75" customHeight="1" thickBot="1" x14ac:dyDescent="0.25">
      <c r="A118" s="14"/>
      <c r="B118" s="22">
        <f>H116</f>
        <v>271900</v>
      </c>
      <c r="C118" s="23" t="s">
        <v>7</v>
      </c>
      <c r="D118" s="24"/>
      <c r="E118" s="2" t="s">
        <v>0</v>
      </c>
      <c r="F118" s="25">
        <f>B118/B119</f>
        <v>61.795454545454547</v>
      </c>
      <c r="G118" s="26" t="s">
        <v>20</v>
      </c>
      <c r="H118" s="27"/>
    </row>
    <row r="119" spans="1:8" ht="15" customHeight="1" x14ac:dyDescent="0.2">
      <c r="A119" s="14"/>
      <c r="B119" s="28">
        <v>4400</v>
      </c>
      <c r="C119" s="3" t="s">
        <v>19</v>
      </c>
      <c r="D119" s="29"/>
      <c r="E119" s="29"/>
      <c r="F119" s="4"/>
      <c r="G119" s="4"/>
      <c r="H119" s="30"/>
    </row>
    <row r="120" spans="1:8" ht="13.5" customHeight="1" thickBot="1" x14ac:dyDescent="0.25">
      <c r="A120" s="205"/>
      <c r="B120" s="206"/>
      <c r="C120" s="206"/>
      <c r="D120" s="206"/>
      <c r="E120" s="206"/>
      <c r="F120" s="206"/>
      <c r="G120" s="5"/>
      <c r="H120" s="31"/>
    </row>
    <row r="121" spans="1:8" ht="13.5" customHeight="1" thickBot="1" x14ac:dyDescent="0.25">
      <c r="A121" s="32"/>
      <c r="B121" s="33"/>
      <c r="C121" s="33"/>
      <c r="D121" s="33"/>
      <c r="E121" s="33"/>
      <c r="F121" s="203" t="s">
        <v>34</v>
      </c>
      <c r="G121" s="204"/>
      <c r="H121" s="63">
        <f>F118</f>
        <v>61.795454545454547</v>
      </c>
    </row>
    <row r="122" spans="1:8" ht="15" customHeight="1" x14ac:dyDescent="0.2">
      <c r="A122" s="34" t="s">
        <v>1</v>
      </c>
      <c r="B122" s="35">
        <v>5.0599999999999996</v>
      </c>
      <c r="C122" s="20" t="s">
        <v>2</v>
      </c>
      <c r="D122" s="20"/>
      <c r="E122" s="20"/>
      <c r="F122" s="20"/>
      <c r="G122" s="20"/>
      <c r="H122" s="36"/>
    </row>
    <row r="123" spans="1:8" ht="15" customHeight="1" x14ac:dyDescent="0.2">
      <c r="A123" s="37"/>
      <c r="B123" s="24"/>
      <c r="C123" s="24"/>
      <c r="D123" s="24"/>
      <c r="E123" s="24"/>
      <c r="F123" s="24"/>
      <c r="G123" s="24"/>
      <c r="H123" s="27"/>
    </row>
    <row r="124" spans="1:8" ht="15.75" customHeight="1" thickBot="1" x14ac:dyDescent="0.25">
      <c r="A124" s="37" t="s">
        <v>3</v>
      </c>
      <c r="B124" s="38">
        <f>F118</f>
        <v>61.795454545454547</v>
      </c>
      <c r="C124" s="26" t="s">
        <v>20</v>
      </c>
      <c r="D124" s="24"/>
      <c r="E124" s="24" t="s">
        <v>4</v>
      </c>
      <c r="F124" s="40">
        <f>B124/B125</f>
        <v>12.212540424002876</v>
      </c>
      <c r="G124" s="24" t="s">
        <v>8</v>
      </c>
      <c r="H124" s="27"/>
    </row>
    <row r="125" spans="1:8" ht="21" customHeight="1" x14ac:dyDescent="0.2">
      <c r="A125" s="37"/>
      <c r="B125" s="40">
        <f>B122</f>
        <v>5.0599999999999996</v>
      </c>
      <c r="C125" s="24" t="s">
        <v>2</v>
      </c>
      <c r="D125" s="41"/>
      <c r="E125" s="24"/>
      <c r="F125" s="40"/>
      <c r="G125" s="24"/>
      <c r="H125" s="27"/>
    </row>
    <row r="126" spans="1:8" ht="15" customHeight="1" thickBot="1" x14ac:dyDescent="0.25">
      <c r="A126" s="42"/>
      <c r="B126" s="39"/>
      <c r="C126" s="39"/>
      <c r="D126" s="39"/>
      <c r="E126" s="39"/>
      <c r="F126" s="39"/>
      <c r="G126" s="39"/>
      <c r="H126" s="43"/>
    </row>
    <row r="127" spans="1:8" ht="15" customHeight="1" thickBot="1" x14ac:dyDescent="0.25">
      <c r="A127" s="42"/>
      <c r="B127" s="39"/>
      <c r="C127" s="39"/>
      <c r="D127" s="39"/>
      <c r="E127" s="39"/>
      <c r="F127" s="207" t="s">
        <v>21</v>
      </c>
      <c r="G127" s="208"/>
      <c r="H127" s="44">
        <f>F124</f>
        <v>12.212540424002876</v>
      </c>
    </row>
    <row r="132" spans="1:1" x14ac:dyDescent="0.2">
      <c r="A132" s="6" t="s">
        <v>86</v>
      </c>
    </row>
    <row r="135" spans="1:1" ht="15" customHeight="1" x14ac:dyDescent="0.2"/>
    <row r="136" spans="1:1" ht="15" customHeight="1" x14ac:dyDescent="0.2"/>
    <row r="137" spans="1:1" ht="15" customHeight="1" x14ac:dyDescent="0.2"/>
    <row r="138" spans="1:1" ht="15" customHeight="1" x14ac:dyDescent="0.2"/>
    <row r="139" spans="1:1" ht="15" customHeight="1" x14ac:dyDescent="0.2"/>
    <row r="140" spans="1:1" ht="15" customHeight="1" x14ac:dyDescent="0.2"/>
  </sheetData>
  <mergeCells count="120">
    <mergeCell ref="A84:D84"/>
    <mergeCell ref="A106:D106"/>
    <mergeCell ref="A105:H105"/>
    <mergeCell ref="A107:D107"/>
    <mergeCell ref="A108:D108"/>
    <mergeCell ref="A109:D109"/>
    <mergeCell ref="A110:D110"/>
    <mergeCell ref="A111:D111"/>
    <mergeCell ref="F127:G127"/>
    <mergeCell ref="A112:D112"/>
    <mergeCell ref="A114:D114"/>
    <mergeCell ref="A115:D115"/>
    <mergeCell ref="F116:G116"/>
    <mergeCell ref="A120:F120"/>
    <mergeCell ref="F121:G121"/>
    <mergeCell ref="A87:D87"/>
    <mergeCell ref="A88:D88"/>
    <mergeCell ref="F89:G89"/>
    <mergeCell ref="A93:F93"/>
    <mergeCell ref="F94:G94"/>
    <mergeCell ref="F100:G100"/>
    <mergeCell ref="A31:D31"/>
    <mergeCell ref="J31:M31"/>
    <mergeCell ref="A32:D32"/>
    <mergeCell ref="J32:M32"/>
    <mergeCell ref="A33:D33"/>
    <mergeCell ref="J33:M33"/>
    <mergeCell ref="J36:M36"/>
    <mergeCell ref="A37:D37"/>
    <mergeCell ref="J37:M37"/>
    <mergeCell ref="A28:D28"/>
    <mergeCell ref="J28:M28"/>
    <mergeCell ref="A29:D29"/>
    <mergeCell ref="J29:M29"/>
    <mergeCell ref="A30:D30"/>
    <mergeCell ref="J30:M30"/>
    <mergeCell ref="O17:P17"/>
    <mergeCell ref="O23:P23"/>
    <mergeCell ref="A27:H27"/>
    <mergeCell ref="J27:Q27"/>
    <mergeCell ref="J6:M6"/>
    <mergeCell ref="J7:M7"/>
    <mergeCell ref="J11:M11"/>
    <mergeCell ref="O12:P12"/>
    <mergeCell ref="J16:O16"/>
    <mergeCell ref="J1:Q1"/>
    <mergeCell ref="J2:M2"/>
    <mergeCell ref="J3:M3"/>
    <mergeCell ref="J4:M4"/>
    <mergeCell ref="J5:M5"/>
    <mergeCell ref="J10:M10"/>
    <mergeCell ref="F12:G12"/>
    <mergeCell ref="A16:F16"/>
    <mergeCell ref="F17:G17"/>
    <mergeCell ref="F23:G23"/>
    <mergeCell ref="A7:D7"/>
    <mergeCell ref="A11:D11"/>
    <mergeCell ref="A6:D6"/>
    <mergeCell ref="A1:H1"/>
    <mergeCell ref="A2:D2"/>
    <mergeCell ref="A3:D3"/>
    <mergeCell ref="A4:D4"/>
    <mergeCell ref="A5:D5"/>
    <mergeCell ref="A8:C8"/>
    <mergeCell ref="A9:C9"/>
    <mergeCell ref="A10:C10"/>
    <mergeCell ref="A42:F42"/>
    <mergeCell ref="J42:O42"/>
    <mergeCell ref="F43:G43"/>
    <mergeCell ref="O43:P43"/>
    <mergeCell ref="F49:G49"/>
    <mergeCell ref="O49:P49"/>
    <mergeCell ref="A36:D36"/>
    <mergeCell ref="A53:H53"/>
    <mergeCell ref="A59:D59"/>
    <mergeCell ref="O38:P38"/>
    <mergeCell ref="F38:G38"/>
    <mergeCell ref="A54:D54"/>
    <mergeCell ref="J54:M54"/>
    <mergeCell ref="A55:D55"/>
    <mergeCell ref="J55:M55"/>
    <mergeCell ref="A56:D56"/>
    <mergeCell ref="J56:M56"/>
    <mergeCell ref="A57:D57"/>
    <mergeCell ref="J57:M57"/>
    <mergeCell ref="A58:D58"/>
    <mergeCell ref="J58:M58"/>
    <mergeCell ref="O94:P94"/>
    <mergeCell ref="O100:P100"/>
    <mergeCell ref="A68:F68"/>
    <mergeCell ref="F69:G69"/>
    <mergeCell ref="F75:G75"/>
    <mergeCell ref="J53:Q53"/>
    <mergeCell ref="J59:M59"/>
    <mergeCell ref="J62:M62"/>
    <mergeCell ref="J63:M63"/>
    <mergeCell ref="J68:O68"/>
    <mergeCell ref="O69:P69"/>
    <mergeCell ref="O75:P75"/>
    <mergeCell ref="F64:G64"/>
    <mergeCell ref="O64:P64"/>
    <mergeCell ref="A62:D62"/>
    <mergeCell ref="A63:D63"/>
    <mergeCell ref="A79:D79"/>
    <mergeCell ref="J79:M79"/>
    <mergeCell ref="A80:D80"/>
    <mergeCell ref="J80:M80"/>
    <mergeCell ref="A78:H78"/>
    <mergeCell ref="A81:D81"/>
    <mergeCell ref="A82:D82"/>
    <mergeCell ref="A83:D83"/>
    <mergeCell ref="J78:Q78"/>
    <mergeCell ref="J81:M81"/>
    <mergeCell ref="J82:M82"/>
    <mergeCell ref="J83:M83"/>
    <mergeCell ref="J84:M84"/>
    <mergeCell ref="J87:M87"/>
    <mergeCell ref="J88:M88"/>
    <mergeCell ref="O89:P89"/>
    <mergeCell ref="J93:O93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calculos</vt:lpstr>
      <vt:lpstr>calculos!Área_de_impresión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</dc:creator>
  <cp:lastModifiedBy>Bruno</cp:lastModifiedBy>
  <cp:lastPrinted>2019-06-21T00:54:30Z</cp:lastPrinted>
  <dcterms:created xsi:type="dcterms:W3CDTF">2019-05-10T15:10:26Z</dcterms:created>
  <dcterms:modified xsi:type="dcterms:W3CDTF">2026-02-07T00:25:11Z</dcterms:modified>
</cp:coreProperties>
</file>